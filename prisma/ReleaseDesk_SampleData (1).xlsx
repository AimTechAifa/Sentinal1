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41426210af9d495/Documents/"/>
    </mc:Choice>
  </mc:AlternateContent>
  <xr:revisionPtr revIDLastSave="2722" documentId="8_{0EBB03BA-423F-4DB4-B459-7A4DD15D699D}" xr6:coauthVersionLast="47" xr6:coauthVersionMax="47" xr10:uidLastSave="{6BB7F7C5-6877-4993-B51E-F4CB8905559A}"/>
  <bookViews>
    <workbookView xWindow="-28920" yWindow="-120" windowWidth="29040" windowHeight="15720" xr2:uid="{DC277D73-06C3-477C-B4EA-2E08BA63760C}"/>
  </bookViews>
  <sheets>
    <sheet name="README" sheetId="9" r:id="rId1"/>
    <sheet name="Reference Data" sheetId="18" r:id="rId2"/>
    <sheet name="Applications" sheetId="1" r:id="rId3"/>
    <sheet name="Users" sheetId="5" r:id="rId4"/>
    <sheet name="Admin (Release Managers)" sheetId="4" r:id="rId5"/>
    <sheet name="Super Admins" sheetId="7" r:id="rId6"/>
    <sheet name="Releases" sheetId="3" r:id="rId7"/>
    <sheet name="Calendar" sheetId="11" r:id="rId8"/>
    <sheet name="Env booking" sheetId="6" r:id="rId9"/>
    <sheet name="Risk Factors" sheetId="17" r:id="rId10"/>
    <sheet name="Risk" sheetId="13" r:id="rId11"/>
    <sheet name="Drift" sheetId="12" r:id="rId12"/>
    <sheet name="Dependencies" sheetId="14" r:id="rId13"/>
    <sheet name="Approvals" sheetId="15" r:id="rId14"/>
    <sheet name="Leave Calendar" sheetId="10" r:id="rId15"/>
    <sheet name="Versions" sheetId="8" r:id="rId16"/>
    <sheet name="System Mapping" sheetId="2" r:id="rId1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J11" i="17" l="1"/>
  <c r="K11" i="17"/>
  <c r="J10" i="17"/>
  <c r="J3" i="17"/>
  <c r="J4" i="17"/>
  <c r="J5" i="17"/>
  <c r="J6" i="17"/>
  <c r="J7" i="17"/>
  <c r="J8" i="17"/>
  <c r="F140" i="17"/>
  <c r="E140" i="17"/>
  <c r="G119" i="17"/>
  <c r="G120" i="17"/>
  <c r="G121" i="17"/>
  <c r="G122" i="17"/>
  <c r="G123" i="17"/>
  <c r="G124" i="17"/>
  <c r="G125" i="17"/>
  <c r="G126" i="17"/>
  <c r="G127" i="17"/>
  <c r="G128" i="17"/>
  <c r="G129" i="17"/>
  <c r="G130" i="17"/>
  <c r="G131" i="17"/>
  <c r="G132" i="17"/>
  <c r="G133" i="17"/>
  <c r="G134" i="17"/>
  <c r="G135" i="17"/>
  <c r="G136" i="17"/>
  <c r="G137" i="17"/>
  <c r="G138" i="17"/>
  <c r="G95" i="17"/>
  <c r="G96" i="17"/>
  <c r="G97" i="17"/>
  <c r="G98" i="17"/>
  <c r="G99" i="17"/>
  <c r="G100" i="17"/>
  <c r="G101" i="17"/>
  <c r="G102" i="17"/>
  <c r="G103" i="17"/>
  <c r="G104" i="17"/>
  <c r="G105" i="17"/>
  <c r="G106" i="17"/>
  <c r="G107" i="17"/>
  <c r="G108" i="17"/>
  <c r="G109" i="17"/>
  <c r="G110" i="17"/>
  <c r="G111" i="17"/>
  <c r="G112" i="17"/>
  <c r="G113" i="17"/>
  <c r="G114" i="17"/>
  <c r="G115" i="17"/>
  <c r="G116" i="17"/>
  <c r="G117" i="17"/>
  <c r="G118" i="17"/>
  <c r="AX79" i="17"/>
  <c r="AX78" i="17"/>
  <c r="AX77" i="17"/>
  <c r="AX76" i="17"/>
  <c r="AX75" i="17"/>
  <c r="AX74" i="17"/>
  <c r="AX73" i="17"/>
  <c r="AX72" i="17"/>
  <c r="AX71" i="17"/>
  <c r="AX70" i="17"/>
  <c r="AX69" i="17"/>
  <c r="AX68" i="17"/>
  <c r="AW79" i="17"/>
  <c r="AW78" i="17"/>
  <c r="AW77" i="17"/>
  <c r="AW76" i="17"/>
  <c r="AW75" i="17"/>
  <c r="AW74" i="17"/>
  <c r="AW73" i="17"/>
  <c r="AW72" i="17"/>
  <c r="AW71" i="17"/>
  <c r="AW70" i="17"/>
  <c r="AW69" i="17"/>
  <c r="AW68" i="17"/>
  <c r="R27" i="13"/>
  <c r="R28" i="13"/>
  <c r="R29" i="13"/>
  <c r="R30" i="13"/>
  <c r="R31" i="13"/>
  <c r="R33" i="13"/>
  <c r="R34" i="13"/>
  <c r="R35" i="13"/>
  <c r="E5" i="13"/>
  <c r="J5" i="13"/>
  <c r="E6" i="13"/>
  <c r="J6" i="13"/>
  <c r="E7" i="13"/>
  <c r="J7" i="13"/>
  <c r="E8" i="13"/>
  <c r="J8" i="13"/>
  <c r="E9" i="13"/>
  <c r="J9" i="13"/>
  <c r="E10" i="13"/>
  <c r="J10" i="13"/>
  <c r="E11" i="13"/>
  <c r="J11" i="13"/>
  <c r="E12" i="13"/>
  <c r="J12" i="13"/>
  <c r="E13" i="13"/>
  <c r="J13" i="13"/>
  <c r="E14" i="13"/>
  <c r="J14" i="13"/>
  <c r="E15" i="13"/>
  <c r="J15" i="13"/>
  <c r="E16" i="13"/>
  <c r="J16" i="13"/>
  <c r="E17" i="13"/>
  <c r="J17" i="13"/>
  <c r="E18" i="13"/>
  <c r="J18" i="13"/>
  <c r="E19" i="13"/>
  <c r="J19" i="13"/>
  <c r="E20" i="13"/>
  <c r="J20" i="13"/>
  <c r="E21" i="13"/>
  <c r="J21" i="13"/>
  <c r="E22" i="13"/>
  <c r="J22" i="13"/>
  <c r="E23" i="13"/>
  <c r="J23" i="13"/>
  <c r="E24" i="13"/>
  <c r="J24" i="13"/>
  <c r="E25" i="13"/>
  <c r="J25" i="13"/>
  <c r="E26" i="13"/>
  <c r="J26" i="13"/>
  <c r="E27" i="13"/>
  <c r="J27" i="13"/>
  <c r="E28" i="13"/>
  <c r="J28" i="13"/>
  <c r="E29" i="13"/>
  <c r="J29" i="13"/>
  <c r="E30" i="13"/>
  <c r="J30" i="13"/>
  <c r="E31" i="13"/>
  <c r="J31" i="13"/>
  <c r="E32" i="13"/>
  <c r="J32" i="13"/>
  <c r="E33" i="13"/>
  <c r="J33" i="13"/>
  <c r="E34" i="13"/>
  <c r="J34" i="13"/>
  <c r="E35" i="13"/>
  <c r="J35" i="13"/>
  <c r="A12" i="11"/>
  <c r="A13" i="11"/>
  <c r="A14" i="11"/>
  <c r="A15" i="11"/>
  <c r="A16" i="11"/>
  <c r="A17" i="11"/>
  <c r="A18" i="11"/>
  <c r="A19" i="11"/>
  <c r="A20" i="11"/>
  <c r="A21" i="11"/>
  <c r="A22" i="11"/>
  <c r="A23" i="11"/>
  <c r="A24" i="11"/>
  <c r="A25" i="11"/>
  <c r="A26" i="11"/>
  <c r="A27" i="11"/>
  <c r="A28" i="11"/>
  <c r="A29" i="11"/>
  <c r="A30" i="11"/>
  <c r="A31" i="11"/>
  <c r="A32" i="11"/>
  <c r="A33" i="11"/>
  <c r="A34" i="11"/>
  <c r="A35" i="11"/>
  <c r="A36" i="11"/>
  <c r="A37" i="11"/>
  <c r="A38" i="11"/>
  <c r="A39" i="11"/>
  <c r="A40" i="11"/>
  <c r="A41" i="11"/>
  <c r="A42" i="11"/>
  <c r="A43" i="11"/>
  <c r="A44" i="11"/>
  <c r="A45" i="11"/>
  <c r="A46" i="11"/>
  <c r="A47" i="11"/>
  <c r="A48" i="11"/>
  <c r="A49" i="11"/>
  <c r="A50" i="11"/>
  <c r="A51" i="11"/>
  <c r="A52" i="11"/>
  <c r="A53" i="11"/>
  <c r="A54" i="11"/>
  <c r="A55" i="11"/>
  <c r="A56" i="11"/>
  <c r="A57" i="11"/>
  <c r="A58" i="11"/>
  <c r="A59" i="11"/>
  <c r="A60" i="11"/>
  <c r="A61" i="11"/>
  <c r="A62" i="11"/>
  <c r="A63" i="11"/>
  <c r="A64" i="11"/>
  <c r="A65" i="11"/>
  <c r="A66" i="11"/>
  <c r="A67" i="11"/>
  <c r="A68" i="11"/>
  <c r="A69" i="11"/>
  <c r="A70" i="11"/>
  <c r="A71" i="11"/>
  <c r="A72" i="11"/>
  <c r="A73" i="11"/>
  <c r="A74" i="11"/>
  <c r="A75" i="11"/>
  <c r="A76" i="11"/>
  <c r="A77" i="11"/>
  <c r="A78" i="11"/>
  <c r="A79" i="11"/>
  <c r="A80" i="11"/>
  <c r="A81" i="11"/>
  <c r="A82" i="11"/>
  <c r="A83" i="11"/>
  <c r="A84" i="11"/>
  <c r="A85" i="11"/>
  <c r="A86" i="11"/>
  <c r="A87" i="11"/>
  <c r="A88" i="11"/>
  <c r="A89" i="11"/>
  <c r="A90" i="11"/>
  <c r="A91" i="11"/>
  <c r="A92" i="11"/>
  <c r="A93" i="11"/>
  <c r="A94" i="11"/>
  <c r="A95" i="11"/>
  <c r="A96" i="11"/>
  <c r="A97" i="11"/>
  <c r="A98" i="11"/>
  <c r="A99" i="11"/>
  <c r="A100" i="11"/>
  <c r="A101" i="11"/>
  <c r="A102" i="11"/>
  <c r="A103" i="11"/>
  <c r="A104" i="11"/>
  <c r="A105" i="11"/>
  <c r="A106" i="11"/>
  <c r="A107" i="11"/>
  <c r="A108" i="11"/>
  <c r="A109" i="11"/>
  <c r="A110" i="11"/>
  <c r="A111" i="11"/>
  <c r="A112" i="11"/>
  <c r="A113" i="11"/>
  <c r="A114" i="11"/>
  <c r="A115" i="11"/>
  <c r="A116" i="11"/>
  <c r="A117" i="11"/>
  <c r="A118" i="11"/>
  <c r="A119" i="11"/>
  <c r="A120" i="11"/>
  <c r="A121" i="11"/>
  <c r="A122" i="11"/>
  <c r="A123" i="11"/>
  <c r="A124" i="11"/>
  <c r="A125" i="11"/>
  <c r="A126" i="11"/>
  <c r="A127" i="11"/>
  <c r="A128" i="11"/>
  <c r="A129" i="11"/>
  <c r="A130" i="11"/>
  <c r="A131" i="11"/>
  <c r="A132" i="11"/>
  <c r="A133" i="11"/>
  <c r="A134" i="11"/>
  <c r="A135" i="11"/>
  <c r="A136" i="11"/>
  <c r="A137" i="11"/>
  <c r="A138" i="11"/>
  <c r="A139" i="11"/>
  <c r="A140" i="11"/>
  <c r="A141" i="11"/>
  <c r="A142" i="11"/>
  <c r="A143" i="11"/>
  <c r="A144" i="11"/>
  <c r="A145" i="11"/>
  <c r="A146" i="11"/>
  <c r="A147" i="11"/>
  <c r="A148" i="11"/>
  <c r="A149" i="11"/>
  <c r="A150" i="11"/>
  <c r="A151" i="11"/>
  <c r="A152" i="11"/>
  <c r="A153" i="11"/>
  <c r="A154" i="11"/>
  <c r="A155" i="11"/>
  <c r="A156" i="11"/>
  <c r="A157" i="11"/>
  <c r="A158" i="11"/>
  <c r="A159" i="11"/>
  <c r="A160" i="11"/>
  <c r="A161" i="11"/>
  <c r="A162" i="11"/>
  <c r="A163" i="11"/>
  <c r="A164" i="11"/>
  <c r="A165" i="11"/>
  <c r="A166" i="11"/>
  <c r="A167" i="11"/>
  <c r="A168" i="11"/>
  <c r="A169" i="11"/>
  <c r="A170" i="11"/>
  <c r="A171" i="11"/>
  <c r="A172" i="11"/>
  <c r="A173" i="11"/>
  <c r="A174" i="11"/>
  <c r="A175" i="11"/>
  <c r="A176" i="11"/>
  <c r="A177" i="11"/>
  <c r="B104" i="6"/>
  <c r="B103" i="6"/>
  <c r="B102" i="6"/>
  <c r="B101" i="6"/>
  <c r="B100" i="6"/>
  <c r="B99" i="6"/>
  <c r="B98" i="6"/>
  <c r="G140" i="17" l="1"/>
  <c r="B145" i="17" l="1"/>
  <c r="E145" i="17"/>
</calcChain>
</file>

<file path=xl/sharedStrings.xml><?xml version="1.0" encoding="utf-8"?>
<sst xmlns="http://schemas.openxmlformats.org/spreadsheetml/2006/main" count="12805" uniqueCount="4466">
  <si>
    <t>Departments</t>
  </si>
  <si>
    <t>Department</t>
  </si>
  <si>
    <t>Application</t>
  </si>
  <si>
    <t>Env</t>
  </si>
  <si>
    <t>Period</t>
  </si>
  <si>
    <t>Finance</t>
  </si>
  <si>
    <t>Logistics</t>
  </si>
  <si>
    <t>CRM</t>
  </si>
  <si>
    <t>Manufacturing</t>
  </si>
  <si>
    <t>IT</t>
  </si>
  <si>
    <t>HR</t>
  </si>
  <si>
    <t>Legal</t>
  </si>
  <si>
    <t>Security</t>
  </si>
  <si>
    <t>SAP S/4HANA Finance (FICO)</t>
  </si>
  <si>
    <t>Anaplan</t>
  </si>
  <si>
    <t>Oracle Hyperion HFM</t>
  </si>
  <si>
    <t>Kyriba</t>
  </si>
  <si>
    <t>Coupa</t>
  </si>
  <si>
    <t>Zuora</t>
  </si>
  <si>
    <t>RevPro</t>
  </si>
  <si>
    <t>Thomson Reuters ONESOURCE</t>
  </si>
  <si>
    <t>SAP Concur</t>
  </si>
  <si>
    <t>Workday Financials</t>
  </si>
  <si>
    <t>MetricStream</t>
  </si>
  <si>
    <t>IBM Cognos</t>
  </si>
  <si>
    <t>HighRadius</t>
  </si>
  <si>
    <t>Basware</t>
  </si>
  <si>
    <t>Dev</t>
  </si>
  <si>
    <t>Test</t>
  </si>
  <si>
    <t>UAT</t>
  </si>
  <si>
    <t>Pre-prod</t>
  </si>
  <si>
    <t>Prod</t>
  </si>
  <si>
    <t>DR</t>
  </si>
  <si>
    <t>SAP Transportation Management (TM)</t>
  </si>
  <si>
    <t>Oracle Transportation Management</t>
  </si>
  <si>
    <t>Blue Yonder WMS</t>
  </si>
  <si>
    <t>Manhattan Associates WMS</t>
  </si>
  <si>
    <t>JDA Supply Chain Planning</t>
  </si>
  <si>
    <t>Kinaxis RapidResponse</t>
  </si>
  <si>
    <t>E2open</t>
  </si>
  <si>
    <t>Descartes Systems</t>
  </si>
  <si>
    <t>project44</t>
  </si>
  <si>
    <t>FourKites</t>
  </si>
  <si>
    <t>Salesforce Sales Cloud</t>
  </si>
  <si>
    <t>Salesforce Service Cloud</t>
  </si>
  <si>
    <t>Microsoft Dynamics 365 CRM</t>
  </si>
  <si>
    <t>SAP CRM</t>
  </si>
  <si>
    <t>HubSpot CRM</t>
  </si>
  <si>
    <t>Zoho CRM</t>
  </si>
  <si>
    <t>Oracle CX Cloud</t>
  </si>
  <si>
    <t>Pega CRM</t>
  </si>
  <si>
    <t>Zendesk</t>
  </si>
  <si>
    <t>Freshworks CRM</t>
  </si>
  <si>
    <t>SAP S/4HANA Manufacturing</t>
  </si>
  <si>
    <t>Siemens Opcenter</t>
  </si>
  <si>
    <t>Rockwell FactoryTalk</t>
  </si>
  <si>
    <t>AVEVA MES</t>
  </si>
  <si>
    <t>Dassault DELMIA</t>
  </si>
  <si>
    <t>Oracle Manufacturing Cloud</t>
  </si>
  <si>
    <t>Plex Smart Manufacturing</t>
  </si>
  <si>
    <t>Epicor Kinetic</t>
  </si>
  <si>
    <t>Infor CloudSuite Industrial</t>
  </si>
  <si>
    <t>QAD Adaptive ERP</t>
  </si>
  <si>
    <t>ServiceNow ITSM</t>
  </si>
  <si>
    <t>BMC Remedy</t>
  </si>
  <si>
    <t>Jira Service Management</t>
  </si>
  <si>
    <t>Splunk Enterprise</t>
  </si>
  <si>
    <t>Dynatrace</t>
  </si>
  <si>
    <t>New Relic</t>
  </si>
  <si>
    <t>PagerDuty</t>
  </si>
  <si>
    <t>Datadog</t>
  </si>
  <si>
    <t>Ansible Tower</t>
  </si>
  <si>
    <t>Terraform Enterprise</t>
  </si>
  <si>
    <t>Workday HCM</t>
  </si>
  <si>
    <t>SAP SuccessFactors</t>
  </si>
  <si>
    <t>Oracle HCM Cloud</t>
  </si>
  <si>
    <t>ADP Workforce Now</t>
  </si>
  <si>
    <t>UKG Pro</t>
  </si>
  <si>
    <t>Ceridian Dayforce</t>
  </si>
  <si>
    <t>BambooHR</t>
  </si>
  <si>
    <t>Cornerstone OnDemand</t>
  </si>
  <si>
    <t>Greenhouse</t>
  </si>
  <si>
    <t>LinkedIn Talent Solutions</t>
  </si>
  <si>
    <t>Thomson Reuters Legal Tracker</t>
  </si>
  <si>
    <t>Mitratech TeamConnect</t>
  </si>
  <si>
    <t>Wolters Kluwer ELM Solutions</t>
  </si>
  <si>
    <t>ContractPodAi</t>
  </si>
  <si>
    <t>Ironclad</t>
  </si>
  <si>
    <t>DocuSign CLM</t>
  </si>
  <si>
    <t>Conga Contracts</t>
  </si>
  <si>
    <t>Agiloft CLM</t>
  </si>
  <si>
    <t>SimpleLegal</t>
  </si>
  <si>
    <t>Onit</t>
  </si>
  <si>
    <t>CrowdStrike Falcon</t>
  </si>
  <si>
    <t>Palo Alto Cortex XDR</t>
  </si>
  <si>
    <t>Splunk SIEM</t>
  </si>
  <si>
    <t>Microsoft Sentinel</t>
  </si>
  <si>
    <t>Okta Identity Cloud</t>
  </si>
  <si>
    <t>CyberArk PAM</t>
  </si>
  <si>
    <t>Qualys VMDR</t>
  </si>
  <si>
    <t>Tenable.io</t>
  </si>
  <si>
    <t>Zscaler</t>
  </si>
  <si>
    <t>Proofpoint</t>
  </si>
  <si>
    <t>Release ID</t>
  </si>
  <si>
    <t>Release Name</t>
  </si>
  <si>
    <t>Release Size</t>
  </si>
  <si>
    <t>Impact</t>
  </si>
  <si>
    <t>Priority</t>
  </si>
  <si>
    <t>Start Date</t>
  </si>
  <si>
    <t>End Date</t>
  </si>
  <si>
    <t>Test Env Required</t>
  </si>
  <si>
    <t>UAT Env Required</t>
  </si>
  <si>
    <t>Status</t>
  </si>
  <si>
    <t>Conflict Flag</t>
  </si>
  <si>
    <t>Notes</t>
  </si>
  <si>
    <t>REL-0001</t>
  </si>
  <si>
    <t>Kyriba UI Tweak v4.5</t>
  </si>
  <si>
    <t>Small</t>
  </si>
  <si>
    <t>Low</t>
  </si>
  <si>
    <t>P4 - Low</t>
  </si>
  <si>
    <t>FIN-TEST-01</t>
  </si>
  <si>
    <t>FIN-UAT-01</t>
  </si>
  <si>
    <t>Scheduled</t>
  </si>
  <si>
    <t>⚠️ CONFLICT</t>
  </si>
  <si>
    <t>Resource conflict with REL-0003 - Same Test/UAT env required</t>
  </si>
  <si>
    <t>REL-0002</t>
  </si>
  <si>
    <t>Blue Workflow Automation v2.1</t>
  </si>
  <si>
    <t>Medium</t>
  </si>
  <si>
    <t>High</t>
  </si>
  <si>
    <t>P1 - Critical</t>
  </si>
  <si>
    <t>LOG-TEST-01</t>
  </si>
  <si>
    <t>LOG-UAT-01</t>
  </si>
  <si>
    <t>REL-0003</t>
  </si>
  <si>
    <t>Zendesk Minor Update v4.3</t>
  </si>
  <si>
    <t>P3 - Medium</t>
  </si>
  <si>
    <t>Resource conflict with REL-0007 - Same Test/UAT env required</t>
  </si>
  <si>
    <t>REL-0004</t>
  </si>
  <si>
    <t>AVEVA Dashboard Upgrade v5.5</t>
  </si>
  <si>
    <t>MAN-TEST-03</t>
  </si>
  <si>
    <t>MAN-UAT-01</t>
  </si>
  <si>
    <t>REL-0005</t>
  </si>
  <si>
    <t>Datadog Security Patch Bundle v3.5</t>
  </si>
  <si>
    <t>P2 - High</t>
  </si>
  <si>
    <t>IT-TEST-01</t>
  </si>
  <si>
    <t>IT-UAT-01</t>
  </si>
  <si>
    <t>Resource conflict with REL-0010 - Same Test/UAT env required</t>
  </si>
  <si>
    <t>REL-0006</t>
  </si>
  <si>
    <t>SAP Configuration Change v5.2</t>
  </si>
  <si>
    <t>HR-TEST-01</t>
  </si>
  <si>
    <t>HR-UAT-01</t>
  </si>
  <si>
    <t>REL-0007</t>
  </si>
  <si>
    <t>Mitratech Integration Enhancement v5.2</t>
  </si>
  <si>
    <t>Resource conflict with REL-0012 - Same Test/UAT env required</t>
  </si>
  <si>
    <t>REL-0008</t>
  </si>
  <si>
    <t>CrowdStrike Minor Update v3.6</t>
  </si>
  <si>
    <t>SEC-TEST-01</t>
  </si>
  <si>
    <t>SEC-UAT-02</t>
  </si>
  <si>
    <t>REL-0009</t>
  </si>
  <si>
    <t>Oracle Report Fix v3.4</t>
  </si>
  <si>
    <t>FIN-TEST-03</t>
  </si>
  <si>
    <t>Resource conflict with REL-0014 - Same Test/UAT env required</t>
  </si>
  <si>
    <t>REL-0010</t>
  </si>
  <si>
    <t>Manhattan Major Enhancement v5.2</t>
  </si>
  <si>
    <t>Large</t>
  </si>
  <si>
    <t>Resource conflict with REL-0005 - Same Test/UAT env required</t>
  </si>
  <si>
    <t>REL-0011</t>
  </si>
  <si>
    <t>HubSpot Minor Update v3.7</t>
  </si>
  <si>
    <t>CRM-TEST-02</t>
  </si>
  <si>
    <t>CRM-UAT-01</t>
  </si>
  <si>
    <t>REL-0012</t>
  </si>
  <si>
    <t>Plex Report Fix v2.5</t>
  </si>
  <si>
    <t>REL-0013</t>
  </si>
  <si>
    <t>Dynatrace UI Tweak v3.1</t>
  </si>
  <si>
    <t>IT-TEST-03</t>
  </si>
  <si>
    <t>Resource conflict with REL-0015 - Same Test/UAT env required</t>
  </si>
  <si>
    <t>REL-0014</t>
  </si>
  <si>
    <t>Oracle Global Rollout v2.2</t>
  </si>
  <si>
    <t>Resource conflict with REL-0011 - Same Test/UAT env required</t>
  </si>
  <si>
    <t>REL-0015</t>
  </si>
  <si>
    <t>DocuSign Core Transformation v1.0</t>
  </si>
  <si>
    <t>Resource conflict with REL-0017 - Same Test/UAT env required</t>
  </si>
  <si>
    <t>REL-0016</t>
  </si>
  <si>
    <t>CyberArk Enterprise Integration v2.0</t>
  </si>
  <si>
    <t>REL-0017</t>
  </si>
  <si>
    <t>HighRadius Report Fix v2.4</t>
  </si>
  <si>
    <t>Resource conflict with REL-0022 - Same Test/UAT env required</t>
  </si>
  <si>
    <t>REL-0018</t>
  </si>
  <si>
    <t>Oracle UI Tweak v2.0</t>
  </si>
  <si>
    <t>LOG-TEST-03</t>
  </si>
  <si>
    <t>LOG-UAT-02</t>
  </si>
  <si>
    <t>REL-0019</t>
  </si>
  <si>
    <t>Salesforce Minor Update v2.5</t>
  </si>
  <si>
    <t>CRM-TEST-01</t>
  </si>
  <si>
    <t>CRM-UAT-02</t>
  </si>
  <si>
    <t>Resource conflict with REL-0021 - Same Test/UAT env required</t>
  </si>
  <si>
    <t>REL-0020</t>
  </si>
  <si>
    <t>Rockwell Quick Enhancement v1.5</t>
  </si>
  <si>
    <t>REL-0021</t>
  </si>
  <si>
    <t>Splunk Bug Fix Release v3.7</t>
  </si>
  <si>
    <t>Resource conflict with REL-0026 - Same Test/UAT env required</t>
  </si>
  <si>
    <t>REL-0022</t>
  </si>
  <si>
    <t>Oracle Dashboard Upgrade v2.5</t>
  </si>
  <si>
    <t>REL-0023</t>
  </si>
  <si>
    <t>DocuSign Feature Release v3.0</t>
  </si>
  <si>
    <t>LEG-TEST-02</t>
  </si>
  <si>
    <t>LEG-UAT-02</t>
  </si>
  <si>
    <t>Resource conflict with REL-0027 - Same Test/UAT env required</t>
  </si>
  <si>
    <t>REL-0024</t>
  </si>
  <si>
    <t>Okta Minor Update v4.1</t>
  </si>
  <si>
    <t>REL-0025</t>
  </si>
  <si>
    <t>Coupa Dashboard Upgrade v5.8</t>
  </si>
  <si>
    <t>FIN-UAT-02</t>
  </si>
  <si>
    <t>REL-0026</t>
  </si>
  <si>
    <t>Kinaxis Dashboard Upgrade v3.2</t>
  </si>
  <si>
    <t>REL-0027</t>
  </si>
  <si>
    <t>Salesforce Hotfix v4.3</t>
  </si>
  <si>
    <t>Resource conflict with REL-0023 - Same Test/UAT env required</t>
  </si>
  <si>
    <t>REL-0028</t>
  </si>
  <si>
    <t>SAP Architecture Overhaul v5.5</t>
  </si>
  <si>
    <t>REL-0029</t>
  </si>
  <si>
    <t>Datadog Feature Release v2.2</t>
  </si>
  <si>
    <t>REL-0030</t>
  </si>
  <si>
    <t>Cornerstone Feature Release v1.7</t>
  </si>
  <si>
    <t>HR-TEST-02</t>
  </si>
  <si>
    <t>REL-0031</t>
  </si>
  <si>
    <t>Mitratech Data Patch v2.9</t>
  </si>
  <si>
    <t>REL-0032</t>
  </si>
  <si>
    <t>CrowdStrike UI Tweak v1.5</t>
  </si>
  <si>
    <t>REL-0033</t>
  </si>
  <si>
    <t>Oracle Major Enhancement v5.3</t>
  </si>
  <si>
    <t>REL-0034</t>
  </si>
  <si>
    <t>Manhattan Module Update v2.8</t>
  </si>
  <si>
    <t>REL-0035</t>
  </si>
  <si>
    <t>Salesforce Report Fix v5.8</t>
  </si>
  <si>
    <t>REL-0036</t>
  </si>
  <si>
    <t>Plex UI Tweak v3.6</t>
  </si>
  <si>
    <t>REL-0037</t>
  </si>
  <si>
    <t>Dynatrace Platform Upgrade v4.0</t>
  </si>
  <si>
    <t>IT-UAT-02</t>
  </si>
  <si>
    <t>REL-0038</t>
  </si>
  <si>
    <t>SAP Bug Fix Release v5.5</t>
  </si>
  <si>
    <t>HR-UAT-02</t>
  </si>
  <si>
    <t>REL-0039</t>
  </si>
  <si>
    <t>Agiloft Core Transformation v4.6</t>
  </si>
  <si>
    <t>LEG-TEST-03</t>
  </si>
  <si>
    <t>LEG-UAT-01</t>
  </si>
  <si>
    <t>REL-0040</t>
  </si>
  <si>
    <t>Palo Quick Enhancement v3.7</t>
  </si>
  <si>
    <t>SEC-TEST-03</t>
  </si>
  <si>
    <t>REL-0041</t>
  </si>
  <si>
    <t>Anaplan Bug Fix Release v3.3</t>
  </si>
  <si>
    <t>REL-0042</t>
  </si>
  <si>
    <t>Oracle Security Patch Bundle v5.6</t>
  </si>
  <si>
    <t>REL-0043</t>
  </si>
  <si>
    <t>Microsoft Integration Enhancement v1.9</t>
  </si>
  <si>
    <t>REL-0044</t>
  </si>
  <si>
    <t>Siemens Integration Enhancement v2.2</t>
  </si>
  <si>
    <t>MAN-TEST-01</t>
  </si>
  <si>
    <t>REL-0045</t>
  </si>
  <si>
    <t>Splunk Global Rollout v3.0</t>
  </si>
  <si>
    <t>REL-0046</t>
  </si>
  <si>
    <t>SAP UI Tweak v5.2</t>
  </si>
  <si>
    <t>HR-TEST-03</t>
  </si>
  <si>
    <t>REL-0047</t>
  </si>
  <si>
    <t>DocuSign Integration Enhancement v1.4</t>
  </si>
  <si>
    <t>REL-0048</t>
  </si>
  <si>
    <t>Okta Report Fix v4.1</t>
  </si>
  <si>
    <t>SEC-UAT-01</t>
  </si>
  <si>
    <t>REL-0049</t>
  </si>
  <si>
    <t>Anaplan Minor Update v3.3</t>
  </si>
  <si>
    <t>FIN-TEST-02</t>
  </si>
  <si>
    <t>REL-0050</t>
  </si>
  <si>
    <t>Blue Configuration Change v5.9</t>
  </si>
  <si>
    <t>REL-0051</t>
  </si>
  <si>
    <t>HubSpot Module Update v4.7</t>
  </si>
  <si>
    <t>CRM-TEST-03</t>
  </si>
  <si>
    <t>REL-0052</t>
  </si>
  <si>
    <t>SAP Configuration Change v1.3</t>
  </si>
  <si>
    <t>REL-0053</t>
  </si>
  <si>
    <t>Splunk Global Rollout v5.8</t>
  </si>
  <si>
    <t>REL-0054</t>
  </si>
  <si>
    <t>Workday Core Transformation v2.7</t>
  </si>
  <si>
    <t>REL-0055</t>
  </si>
  <si>
    <t>DocuSign Major Enhancement v5.2</t>
  </si>
  <si>
    <t>REL-0056</t>
  </si>
  <si>
    <t>Okta Performance Optimization v5.0</t>
  </si>
  <si>
    <t>REL-0057</t>
  </si>
  <si>
    <t>Coupa Security Patch Bundle v3.3</t>
  </si>
  <si>
    <t>REL-0058</t>
  </si>
  <si>
    <t>Manhattan API Enhancement v2.0</t>
  </si>
  <si>
    <t>REL-0059</t>
  </si>
  <si>
    <t>Salesforce Workflow Automation v5.8</t>
  </si>
  <si>
    <t>REL-0060</t>
  </si>
  <si>
    <t>Plex UI Tweak v4.0</t>
  </si>
  <si>
    <t>MAN-TEST-02</t>
  </si>
  <si>
    <t>MAN-UAT-02</t>
  </si>
  <si>
    <t>REL-0061</t>
  </si>
  <si>
    <t>Datadog API Enhancement v5.6</t>
  </si>
  <si>
    <t>IT-TEST-02</t>
  </si>
  <si>
    <t>REL-0062</t>
  </si>
  <si>
    <t>SAP Report Fix v2.8</t>
  </si>
  <si>
    <t>REL-0063</t>
  </si>
  <si>
    <t>Mitratech Workflow Automation v2.3</t>
  </si>
  <si>
    <t>LEG-TEST-01</t>
  </si>
  <si>
    <t>REL-0064</t>
  </si>
  <si>
    <t>Microsoft Integration Enhancement v4.1</t>
  </si>
  <si>
    <t>REL-0065</t>
  </si>
  <si>
    <t>Oracle System Migration v1.9</t>
  </si>
  <si>
    <t>REL-0066</t>
  </si>
  <si>
    <t>Oracle Module Update v5.6</t>
  </si>
  <si>
    <t>LOG-TEST-02</t>
  </si>
  <si>
    <t>REL-0067</t>
  </si>
  <si>
    <t>Salesforce Complete Redesign v1.9</t>
  </si>
  <si>
    <t>REL-0068</t>
  </si>
  <si>
    <t>Rockwell Minor Update v1.1</t>
  </si>
  <si>
    <t>REL-0069</t>
  </si>
  <si>
    <t>BMC UI Tweak v5.1</t>
  </si>
  <si>
    <t>REL-0070</t>
  </si>
  <si>
    <t>Oracle Workflow Automation v3.6</t>
  </si>
  <si>
    <t>REL-0071</t>
  </si>
  <si>
    <t>Agiloft Minor Update v4.1</t>
  </si>
  <si>
    <t>REL-0072</t>
  </si>
  <si>
    <t>Palo Hotfix v5.8</t>
  </si>
  <si>
    <t>REL-0073</t>
  </si>
  <si>
    <t>Kyriba Security Patch Bundle v3.6</t>
  </si>
  <si>
    <t>REL-0074</t>
  </si>
  <si>
    <t>Oracle Hotfix v4.3</t>
  </si>
  <si>
    <t>REL-0075</t>
  </si>
  <si>
    <t>HubSpot Performance Optimization v3.0</t>
  </si>
  <si>
    <t>REL-0076</t>
  </si>
  <si>
    <t>SAP Hotfix v4.1</t>
  </si>
  <si>
    <t>REL-0077</t>
  </si>
  <si>
    <t>Jira Core Transformation v1.8</t>
  </si>
  <si>
    <t>REL-0078</t>
  </si>
  <si>
    <t>ADP Workflow Automation v2.7</t>
  </si>
  <si>
    <t>REL-0079</t>
  </si>
  <si>
    <t>Ironclad Module Update v4.7</t>
  </si>
  <si>
    <t>REL-0080</t>
  </si>
  <si>
    <t>CrowdStrike Performance Optimization v5.9</t>
  </si>
  <si>
    <t>Executive sponsor: CFO</t>
  </si>
  <si>
    <t>Blackout period consideration</t>
  </si>
  <si>
    <t>Integration testing with downstream systems</t>
  </si>
  <si>
    <t>Data migration included</t>
  </si>
  <si>
    <t>Change Advisory Board approval needed</t>
  </si>
  <si>
    <t>Audit finding remediation</t>
  </si>
  <si>
    <t>Holiday freeze exception requested</t>
  </si>
  <si>
    <t>Security review pending</t>
  </si>
  <si>
    <t>DR sync required post-deployment</t>
  </si>
  <si>
    <t>Critical for Q3 financial close</t>
  </si>
  <si>
    <t>Dependencies on infrastructure team</t>
  </si>
  <si>
    <t>Dependent on vendor patch delivery</t>
  </si>
  <si>
    <t>Executive sponsor: CIO</t>
  </si>
  <si>
    <t>Customer-facing impact - coordinate with support</t>
  </si>
  <si>
    <t>Resource conflict with REL-0043 - Overlapping Test/UAT window</t>
  </si>
  <si>
    <t>Resource conflict with REL-0041 - Overlapping Test/UAT window</t>
  </si>
  <si>
    <t>License renewal dependency</t>
  </si>
  <si>
    <t>External vendor coordination needed</t>
  </si>
  <si>
    <t>Requires weekend deployment window</t>
  </si>
  <si>
    <t>Training materials to be updated</t>
  </si>
  <si>
    <t>Rollback plan required</t>
  </si>
  <si>
    <t>Resource conflict with REL-0058 - Overlapping Test/UAT window</t>
  </si>
  <si>
    <t>Resource conflict with REL-0056 - Overlapping Test/UAT window</t>
  </si>
  <si>
    <t>Performance testing mandatory</t>
  </si>
  <si>
    <t>Business continuity testing required</t>
  </si>
  <si>
    <t>Resource conflict with REL-0068 - Overlapping Test/UAT window</t>
  </si>
  <si>
    <t>Resource conflict with REL-0066 - Overlapping Test/UAT window</t>
  </si>
  <si>
    <t>Resource conflict with REL-0073 - Overlapping Test/UAT window</t>
  </si>
  <si>
    <t>Resource conflict with REL-0071 - Overlapping Test/UAT window</t>
  </si>
  <si>
    <t>Regulatory deadline driven</t>
  </si>
  <si>
    <t>Enterprise System Integration Map</t>
  </si>
  <si>
    <t>Legend:</t>
  </si>
  <si>
    <t>Core ERP/Platform</t>
  </si>
  <si>
    <t>Central hub systems</t>
  </si>
  <si>
    <t>Bidirectional Integration</t>
  </si>
  <si>
    <t>Two-way data flow</t>
  </si>
  <si>
    <t>Data Feed (Upstream)</t>
  </si>
  <si>
    <t>Sends data to other systems</t>
  </si>
  <si>
    <t>Data Feed (Downstream)</t>
  </si>
  <si>
    <t>Receives data from other systems</t>
  </si>
  <si>
    <t>Shared Services</t>
  </si>
  <si>
    <t>Cross-department systems</t>
  </si>
  <si>
    <t>CORE SYSTEMS HUB</t>
  </si>
  <si>
    <t>System</t>
  </si>
  <si>
    <t>Type</t>
  </si>
  <si>
    <t>Integrates With</t>
  </si>
  <si>
    <t>Data Flow</t>
  </si>
  <si>
    <t>Key Data Exchanged</t>
  </si>
  <si>
    <t>SAP S/4HANA (ERP)</t>
  </si>
  <si>
    <t>Finance / Manufacturing</t>
  </si>
  <si>
    <t>Core ERP</t>
  </si>
  <si>
    <t>All Departments</t>
  </si>
  <si>
    <t>Bidirectional</t>
  </si>
  <si>
    <t>GL, AP, AR, Inventory, Orders, Cost Centers</t>
  </si>
  <si>
    <t>Core HCM</t>
  </si>
  <si>
    <t>Finance, IT, Security</t>
  </si>
  <si>
    <t>Employee Data, Payroll, Org Structure</t>
  </si>
  <si>
    <t>Service Platform</t>
  </si>
  <si>
    <t>Incidents, Changes, Assets, CMDB</t>
  </si>
  <si>
    <t>Salesforce CRM</t>
  </si>
  <si>
    <t>Core CRM</t>
  </si>
  <si>
    <t>Finance, Manufacturing, Logistics</t>
  </si>
  <si>
    <t>Customers, Opportunities, Orders, Contracts</t>
  </si>
  <si>
    <t>DEPARTMENT INTEGRATION MATRIX</t>
  </si>
  <si>
    <t>From \ To</t>
  </si>
  <si>
    <t>—</t>
  </si>
  <si>
    <t>●</t>
  </si>
  <si>
    <t>○</t>
  </si>
  <si>
    <t>● Primary Integration</t>
  </si>
  <si>
    <t>Critical data exchange, real-time or daily sync</t>
  </si>
  <si>
    <t>○ Secondary Integration</t>
  </si>
  <si>
    <t>Periodic data exchange, reporting or audit</t>
  </si>
  <si>
    <t>KEY INTEGRATION FLOWS</t>
  </si>
  <si>
    <t>Flow ID</t>
  </si>
  <si>
    <t>Source System</t>
  </si>
  <si>
    <t>Target System</t>
  </si>
  <si>
    <t>Integration Type</t>
  </si>
  <si>
    <t>Frequency</t>
  </si>
  <si>
    <t>Data Elements</t>
  </si>
  <si>
    <t>Business Purpose</t>
  </si>
  <si>
    <t>INT-001</t>
  </si>
  <si>
    <t>SAP S/4HANA</t>
  </si>
  <si>
    <t>API / Real-time</t>
  </si>
  <si>
    <t>Real-time</t>
  </si>
  <si>
    <t>Sales Orders, Customer Master</t>
  </si>
  <si>
    <t>Order-to-Cash Process</t>
  </si>
  <si>
    <t>INT-002</t>
  </si>
  <si>
    <t>Batch / API</t>
  </si>
  <si>
    <t>Daily</t>
  </si>
  <si>
    <t>Cost Centers, GL Accounts</t>
  </si>
  <si>
    <t>Payroll &amp; Financial Reporting</t>
  </si>
  <si>
    <t>INT-003</t>
  </si>
  <si>
    <t>Okta Identity</t>
  </si>
  <si>
    <t>SCIM</t>
  </si>
  <si>
    <t>User Provisioning, Roles</t>
  </si>
  <si>
    <t>Identity &amp; Access Management</t>
  </si>
  <si>
    <t>INT-004</t>
  </si>
  <si>
    <t>SAP Manufacturing</t>
  </si>
  <si>
    <t>API / Batch</t>
  </si>
  <si>
    <t>Hourly</t>
  </si>
  <si>
    <t>Production Orders, BOM</t>
  </si>
  <si>
    <t>Supply Chain Execution</t>
  </si>
  <si>
    <t>INT-005</t>
  </si>
  <si>
    <t>SAP Transportation</t>
  </si>
  <si>
    <t>API</t>
  </si>
  <si>
    <t>Shipments, Inventory</t>
  </si>
  <si>
    <t>Logistics Coordination</t>
  </si>
  <si>
    <t>INT-006</t>
  </si>
  <si>
    <t>Incidents, Alerts</t>
  </si>
  <si>
    <t>Security Operations</t>
  </si>
  <si>
    <t>INT-007</t>
  </si>
  <si>
    <t>CrowdStrike</t>
  </si>
  <si>
    <t>Threat Intelligence</t>
  </si>
  <si>
    <t>Security Monitoring</t>
  </si>
  <si>
    <t>INT-008</t>
  </si>
  <si>
    <t>On-demand</t>
  </si>
  <si>
    <t>Contracts, Vendor Terms</t>
  </si>
  <si>
    <t>Procurement &amp; Legal</t>
  </si>
  <si>
    <t>INT-009</t>
  </si>
  <si>
    <t>Batch</t>
  </si>
  <si>
    <t>Budgets, Forecasts</t>
  </si>
  <si>
    <t>Financial Planning</t>
  </si>
  <si>
    <t>INT-010</t>
  </si>
  <si>
    <t>Oracle HCM</t>
  </si>
  <si>
    <t>ADP Workforce</t>
  </si>
  <si>
    <t>Bi-weekly</t>
  </si>
  <si>
    <t>Payroll Data, Time</t>
  </si>
  <si>
    <t>Payroll Processing</t>
  </si>
  <si>
    <t>INT-011</t>
  </si>
  <si>
    <t>Cases, Customer Data</t>
  </si>
  <si>
    <t>Customer Service</t>
  </si>
  <si>
    <t>INT-012</t>
  </si>
  <si>
    <t>Financial Data</t>
  </si>
  <si>
    <t>Business Intelligence</t>
  </si>
  <si>
    <t>INT-013</t>
  </si>
  <si>
    <t>ServiceNow</t>
  </si>
  <si>
    <t>Access Requests</t>
  </si>
  <si>
    <t>Privileged Access</t>
  </si>
  <si>
    <t>INT-014</t>
  </si>
  <si>
    <t>Workday</t>
  </si>
  <si>
    <t>Cornerstone LMS</t>
  </si>
  <si>
    <t>Employee, Training</t>
  </si>
  <si>
    <t>Learning Management</t>
  </si>
  <si>
    <t>INT-015</t>
  </si>
  <si>
    <t>Expenses, T&amp;E</t>
  </si>
  <si>
    <t>Expense Management</t>
  </si>
  <si>
    <t>SYSTEM ARCHITECTURE DIAGRAM</t>
  </si>
  <si>
    <t>SHARED ENVIRONMENT &amp; RESOURCE DEPENDENCIES</t>
  </si>
  <si>
    <t>Environment</t>
  </si>
  <si>
    <t>Shared By</t>
  </si>
  <si>
    <t>Capacity</t>
  </si>
  <si>
    <t>Booking Required</t>
  </si>
  <si>
    <t>Conflict Risk</t>
  </si>
  <si>
    <t>Finance, Legal, CRM</t>
  </si>
  <si>
    <t>Limited (3 concurrent)</t>
  </si>
  <si>
    <t>Yes - 2 weeks advance</t>
  </si>
  <si>
    <t>HIGH</t>
  </si>
  <si>
    <t>Standard</t>
  </si>
  <si>
    <t>Yes - 1 week advance</t>
  </si>
  <si>
    <t>Finance, Legal, Manufacturing</t>
  </si>
  <si>
    <t>Limited (2 concurrent)</t>
  </si>
  <si>
    <t>Yes - 3 weeks advance</t>
  </si>
  <si>
    <t>IT, Security, All Depts</t>
  </si>
  <si>
    <t>Shared Pool</t>
  </si>
  <si>
    <t>IT, Security</t>
  </si>
  <si>
    <t>Limited</t>
  </si>
  <si>
    <t>CRM, Sales Ops</t>
  </si>
  <si>
    <t>Recommended</t>
  </si>
  <si>
    <t>CRM, Marketing</t>
  </si>
  <si>
    <t>Manufacturing, Logistics</t>
  </si>
  <si>
    <t>Logistics, Manufacturing</t>
  </si>
  <si>
    <t>Security, IT</t>
  </si>
  <si>
    <t>Restricted</t>
  </si>
  <si>
    <t>HR, Payroll</t>
  </si>
  <si>
    <t>INTEG-01</t>
  </si>
  <si>
    <t>Integration</t>
  </si>
  <si>
    <t>ALL DEPARTMENTS</t>
  </si>
  <si>
    <t>Critical Shared</t>
  </si>
  <si>
    <t>Mandatory - 4 weeks</t>
  </si>
  <si>
    <t>CRITICAL</t>
  </si>
  <si>
    <t>CRITICAL INTEGRATION PATHS (Release Impact Analysis)</t>
  </si>
  <si>
    <t>Path ID</t>
  </si>
  <si>
    <t>Integration Path</t>
  </si>
  <si>
    <t>Upstream Systems</t>
  </si>
  <si>
    <t>Downstream Systems</t>
  </si>
  <si>
    <t>Release Coordination</t>
  </si>
  <si>
    <t>Blackout Windows</t>
  </si>
  <si>
    <t>PATH-001</t>
  </si>
  <si>
    <t>Order-to-Cash</t>
  </si>
  <si>
    <t>Salesforce → SAP</t>
  </si>
  <si>
    <t>SAP → Logistics → Finance</t>
  </si>
  <si>
    <t>Mandatory joint testing</t>
  </si>
  <si>
    <t>Month-end, Quarter-end</t>
  </si>
  <si>
    <t>Revenue impacting - CFO approval required</t>
  </si>
  <si>
    <t>PATH-002</t>
  </si>
  <si>
    <t>Procure-to-Pay</t>
  </si>
  <si>
    <t>SAP → Coupa → Vendors</t>
  </si>
  <si>
    <t>AP → Treasury → Banking</t>
  </si>
  <si>
    <t>Finance sign-off required</t>
  </si>
  <si>
    <t>Month-end close (Days 1-5)</t>
  </si>
  <si>
    <t>Payment processing critical</t>
  </si>
  <si>
    <t>PATH-003</t>
  </si>
  <si>
    <t>Hire-to-Retire</t>
  </si>
  <si>
    <t>Workday → Okta → All Apps</t>
  </si>
  <si>
    <t>Payroll → Finance → Tax</t>
  </si>
  <si>
    <t>HR + IT + Security coord</t>
  </si>
  <si>
    <t>Payroll windows</t>
  </si>
  <si>
    <t>Employee data sensitive</t>
  </si>
  <si>
    <t>PATH-004</t>
  </si>
  <si>
    <t>Record-to-Report</t>
  </si>
  <si>
    <t>All Source Systems → SAP</t>
  </si>
  <si>
    <t>SAP → Cognos → Reporting</t>
  </si>
  <si>
    <t>Finance freeze periods</t>
  </si>
  <si>
    <t>Close periods</t>
  </si>
  <si>
    <t>SOX compliance required</t>
  </si>
  <si>
    <t>PATH-005</t>
  </si>
  <si>
    <t>Plan-to-Produce</t>
  </si>
  <si>
    <t>SAP → MES → WMS</t>
  </si>
  <si>
    <t>Production → Inventory → Ship</t>
  </si>
  <si>
    <t>Manufacturing + Logistics</t>
  </si>
  <si>
    <t>Production schedules</t>
  </si>
  <si>
    <t>Supply chain disruption risk</t>
  </si>
  <si>
    <t>PATH-006</t>
  </si>
  <si>
    <t>All Systems → SIEM</t>
  </si>
  <si>
    <t>SIEM → SOC → Incident</t>
  </si>
  <si>
    <t>Security team approval</t>
  </si>
  <si>
    <t>Never (24/7 ops)</t>
  </si>
  <si>
    <t>Cannot have monitoring gaps</t>
  </si>
  <si>
    <t>PATH-007</t>
  </si>
  <si>
    <t>Identity Lifecycle</t>
  </si>
  <si>
    <t>Workday → Okta → Apps</t>
  </si>
  <si>
    <t>Access → Audit → Compliance</t>
  </si>
  <si>
    <t>HR + IT + Security</t>
  </si>
  <si>
    <t>Audit periods</t>
  </si>
  <si>
    <t>Access control critical</t>
  </si>
  <si>
    <t>PATH-008</t>
  </si>
  <si>
    <t>Contract Lifecycle</t>
  </si>
  <si>
    <t>Legal → DocuSign → SAP</t>
  </si>
  <si>
    <t>Procurement → Vendors</t>
  </si>
  <si>
    <t>Legal + Procurement</t>
  </si>
  <si>
    <t>Contract renewals</t>
  </si>
  <si>
    <t>Legal/financial obligations</t>
  </si>
  <si>
    <t>📋 RELEASE MANAGER NOTES:</t>
  </si>
  <si>
    <t>1. Always check Integration Matrix before scheduling cross-department releases</t>
  </si>
  <si>
    <t>2. Shared environments (especially FIN-TEST-01, IT-TEST-01, INTEG-01) require advance booking</t>
  </si>
  <si>
    <t>3. Critical Integration Paths require coordinated testing across all connected systems</t>
  </si>
  <si>
    <t>4. Month-end, Quarter-end, and Year-end are high-risk periods - minimize changes</t>
  </si>
  <si>
    <t>5. Security systems (PATH-006, PATH-007) require 24/7 availability - schedule carefully</t>
  </si>
  <si>
    <t>6. SAP S/4HANA is the central hub - any SAP changes impact multiple departments</t>
  </si>
  <si>
    <t>╔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╗</t>
  </si>
  <si>
    <t>║                                      ENTERPRISE INTEGRATION LAYER                                            ║</t>
  </si>
  <si>
    <t>║                                  (API Gateway / ESB / Integration Platform)                                  ║</t>
  </si>
  <si>
    <t>╚════════════╦═══════════════╦═══════════════╦═══════════════╦═══════════════╦═══════════════╦═════════════════╝</t>
  </si>
  <si>
    <t xml:space="preserve">             ║               ║               ║               ║               ║               ║                  </t>
  </si>
  <si>
    <t xml:space="preserve">             ▼               ▼               ▼               ▼               ▼               ▼                  </t>
  </si>
  <si>
    <t xml:space="preserve">     ┌──────────────┐ ┌──────────────┐ ┌──────────────┐ ┌──────────────┐ ┌──────────────┐ ┌──────────────┐      </t>
  </si>
  <si>
    <t xml:space="preserve">     │   FINANCE    │ │      HR      │ │      IT      │ │     CRM      │ │ MANUFACTURING│ │   LOGISTICS  │      </t>
  </si>
  <si>
    <t xml:space="preserve">     ├──────────────┤ ├──────────────┤ ├──────────────┤ ├──────────────┤ ├──────────────┤ ├──────────────┤      </t>
  </si>
  <si>
    <t xml:space="preserve">     │ SAP S/4HANA  │ │ Workday HCM  │ │ ServiceNow   │ │ Salesforce   │ │ SAP S/4 Manu │ │ SAP TM       │      </t>
  </si>
  <si>
    <t xml:space="preserve">     │ Anaplan      │ │ SuccessFactors│ │ Splunk       │ │ Dynamics 365 │ │ Siemens MES  │ │ Blue Yonder  │      </t>
  </si>
  <si>
    <t xml:space="preserve">     │ Hyperion HFM │ │ ADP Workforce│ │ Dynatrace    │ │ Zendesk      │ │ Rockwell FT  │ │ Manhattan    │      </t>
  </si>
  <si>
    <t xml:space="preserve">     │ IBM Cognos   │ │ Cornerstone  │ │ PagerDuty    │ │ HubSpot      │ │ AVEVA MES    │ │ FourKites    │      </t>
  </si>
  <si>
    <t xml:space="preserve">     └──────┬───────┘ └──────┬───────┘ └──────┬───────┘ └──────┬───────┘ └──────┬───────┘ └──────┬───────┘      </t>
  </si>
  <si>
    <t xml:space="preserve">            │                │                │                │                │                │               </t>
  </si>
  <si>
    <t xml:space="preserve">            │◄──────────────►│◄──────────────►│◄──────────────►│◄──────────────►│◄──────────────►│               </t>
  </si>
  <si>
    <t xml:space="preserve">            └────────────────┴────────────────┴───────┬────────┴────────────────┴────────────────┘               </t>
  </si>
  <si>
    <t xml:space="preserve">                                                      │                                                          </t>
  </si>
  <si>
    <t xml:space="preserve">                           ┌──────────────────────────┼──────────────────────────┐                               </t>
  </si>
  <si>
    <t xml:space="preserve">                           │                          │                          │                               </t>
  </si>
  <si>
    <t xml:space="preserve">                           ▼                          ▼                          ▼                               </t>
  </si>
  <si>
    <t xml:space="preserve">                   ┌──────────────┐           ┌──────────────┐           ┌──────────────┐                        </t>
  </si>
  <si>
    <t xml:space="preserve">                   │    LEGAL     │◄─────────►│   SECURITY   │◄─────────►│  SHARED SVC  │                        </t>
  </si>
  <si>
    <t xml:space="preserve">                   ├──────────────┤           ├──────────────┤           ├──────────────┤                        </t>
  </si>
  <si>
    <t xml:space="preserve">                   │ DocuSign CLM │           │ CrowdStrike  │           │ ServiceNow   │                        </t>
  </si>
  <si>
    <t xml:space="preserve">                   │ Ironclad     │           │ Okta Identity│           │ Active Dir   │                        </t>
  </si>
  <si>
    <t xml:space="preserve">                   │ Legal Tracker│           │ CyberArk PAM │           │ Email/Collab │                        </t>
  </si>
  <si>
    <t xml:space="preserve">                   │ Agiloft CLM  │           │ MS Sentinel  │           │ SharePoint   │                        </t>
  </si>
  <si>
    <t xml:space="preserve">                   └──────────────┘           └──────────────┘           └──────────────┘                        </t>
  </si>
  <si>
    <t>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</t>
  </si>
  <si>
    <t xml:space="preserve">                                           DATA FLOW LEGEND                                                       </t>
  </si>
  <si>
    <t xml:space="preserve">     ◄──────────────►  =  Bidirectional Integration (Real-time or Batch sync)                                    </t>
  </si>
  <si>
    <t xml:space="preserve">     ───────────────►  =  Unidirectional Data Flow (Source to Target)                                            </t>
  </si>
  <si>
    <t xml:space="preserve">     ║                 =  Connection to Integration Layer                                                         </t>
  </si>
  <si>
    <t>Tech Lead</t>
  </si>
  <si>
    <t>Sarah Mitchell</t>
  </si>
  <si>
    <t>James Wilson</t>
  </si>
  <si>
    <t>David Chen</t>
  </si>
  <si>
    <t>Emily Zhang</t>
  </si>
  <si>
    <t>Jennifer Walsh</t>
  </si>
  <si>
    <t>Michael Brown</t>
  </si>
  <si>
    <t>Robert Kim</t>
  </si>
  <si>
    <t>Priya Sharma</t>
  </si>
  <si>
    <t>Michelle Torres</t>
  </si>
  <si>
    <t>Christopher Davis</t>
  </si>
  <si>
    <t>Andrew Patel</t>
  </si>
  <si>
    <t>Angela Liu</t>
  </si>
  <si>
    <t>Lisa Thompson</t>
  </si>
  <si>
    <t>Daniel Park</t>
  </si>
  <si>
    <t>Mark Rodriguez</t>
  </si>
  <si>
    <t>Jessica Nguyen</t>
  </si>
  <si>
    <t>Amanda Foster</t>
  </si>
  <si>
    <t>Ryan Cooper</t>
  </si>
  <si>
    <t>Kevin O'Brien</t>
  </si>
  <si>
    <t>Samantha Reed</t>
  </si>
  <si>
    <t>Rachel Green</t>
  </si>
  <si>
    <t>William Chen</t>
  </si>
  <si>
    <t>Thomas Wright</t>
  </si>
  <si>
    <t>Olivia Martinez</t>
  </si>
  <si>
    <t>Diana Lee</t>
  </si>
  <si>
    <t>Nathan Brooks</t>
  </si>
  <si>
    <t>Steven Martinez</t>
  </si>
  <si>
    <t>Karen Singh</t>
  </si>
  <si>
    <t>Brian Murphy</t>
  </si>
  <si>
    <t>Marcus Johnson</t>
  </si>
  <si>
    <t>Catherine Hayes</t>
  </si>
  <si>
    <t>Tina Wang</t>
  </si>
  <si>
    <t>Eric Johansson</t>
  </si>
  <si>
    <t>Alexander Petrov</t>
  </si>
  <si>
    <t>Patricia Wong</t>
  </si>
  <si>
    <t>Rachel Kim</t>
  </si>
  <si>
    <t>Gregory Adams</t>
  </si>
  <si>
    <t>Vincent Lopez</t>
  </si>
  <si>
    <t>Nicole Fraser</t>
  </si>
  <si>
    <t>Heather Stone</t>
  </si>
  <si>
    <t>Jason Burke</t>
  </si>
  <si>
    <t>Brandon Lee</t>
  </si>
  <si>
    <t>Laura Schmidt</t>
  </si>
  <si>
    <t>Melissa Chang</t>
  </si>
  <si>
    <t>Derek Coleman</t>
  </si>
  <si>
    <t>Tyler Morrison</t>
  </si>
  <si>
    <t>Stephanie Mills</t>
  </si>
  <si>
    <t>Christina Reyes</t>
  </si>
  <si>
    <t>Matthew Clarke</t>
  </si>
  <si>
    <t>Carlos Mendez</t>
  </si>
  <si>
    <t>Victoria Santos</t>
  </si>
  <si>
    <t>Jennifer Park</t>
  </si>
  <si>
    <t>Benjamin Scott</t>
  </si>
  <si>
    <t>Michael Chang</t>
  </si>
  <si>
    <t>Alexis Rivera</t>
  </si>
  <si>
    <t>Natalie Brooks</t>
  </si>
  <si>
    <t>Jonathan Reed</t>
  </si>
  <si>
    <t>David Kim</t>
  </si>
  <si>
    <t>Megan O'Connor</t>
  </si>
  <si>
    <t>Rebecca Torres</t>
  </si>
  <si>
    <t>Patrick Dunn</t>
  </si>
  <si>
    <t>Anthony Chen</t>
  </si>
  <si>
    <t>Ashley Gonzalez</t>
  </si>
  <si>
    <t>Stephanie Wu</t>
  </si>
  <si>
    <t>Trevor Banks</t>
  </si>
  <si>
    <t>Justin Taylor</t>
  </si>
  <si>
    <t>Courtney Price</t>
  </si>
  <si>
    <t>Amanda Lee</t>
  </si>
  <si>
    <t>Richard Hoffman</t>
  </si>
  <si>
    <t>Kenneth Wright</t>
  </si>
  <si>
    <t>Sandra Peters</t>
  </si>
  <si>
    <t>Edward Mueller</t>
  </si>
  <si>
    <t>Paul Anderson</t>
  </si>
  <si>
    <t>Christine Larson</t>
  </si>
  <si>
    <t>Michelle Davis</t>
  </si>
  <si>
    <t>George Volkov</t>
  </si>
  <si>
    <t>Steven Nakamura</t>
  </si>
  <si>
    <t>Deborah Nash</t>
  </si>
  <si>
    <t>Teresa Gonzalez</t>
  </si>
  <si>
    <t>Harold Chen</t>
  </si>
  <si>
    <t>Bruce Thompson</t>
  </si>
  <si>
    <t>Monica Fernandez</t>
  </si>
  <si>
    <t>Angela Park</t>
  </si>
  <si>
    <t>Russell White</t>
  </si>
  <si>
    <t>Douglas Chen</t>
  </si>
  <si>
    <t>Janet Kowalski</t>
  </si>
  <si>
    <t>Carolyn Reed</t>
  </si>
  <si>
    <t>Christopher Blake</t>
  </si>
  <si>
    <t>Jeffrey Kumar</t>
  </si>
  <si>
    <t>Elizabeth Morgan</t>
  </si>
  <si>
    <t>Stephanie Liu</t>
  </si>
  <si>
    <t>Joseph Turner</t>
  </si>
  <si>
    <t>Robert Chang</t>
  </si>
  <si>
    <t>Margaret Sullivan</t>
  </si>
  <si>
    <t>Karen Patel</t>
  </si>
  <si>
    <t>Raymond Diaz</t>
  </si>
  <si>
    <t>Brian Yamamoto</t>
  </si>
  <si>
    <t>Pamela Anderson</t>
  </si>
  <si>
    <t>Lisa Hernandez</t>
  </si>
  <si>
    <t>Timothy Foster</t>
  </si>
  <si>
    <t>Scott McKenzie</t>
  </si>
  <si>
    <t>Diane Wilson</t>
  </si>
  <si>
    <t>Nicole Chen</t>
  </si>
  <si>
    <t>Gary Martinez</t>
  </si>
  <si>
    <t>Adam Roberts</t>
  </si>
  <si>
    <t>Barbara Collins</t>
  </si>
  <si>
    <t>Katherine Wong</t>
  </si>
  <si>
    <t>Daniel Crawford</t>
  </si>
  <si>
    <t>Nicholas Chen</t>
  </si>
  <si>
    <t>Susan Perry</t>
  </si>
  <si>
    <t>William Hughes</t>
  </si>
  <si>
    <t>Jonathan Park</t>
  </si>
  <si>
    <t>Dorothy Barnes</t>
  </si>
  <si>
    <t>Christine Lee</t>
  </si>
  <si>
    <t>Frank Reynolds</t>
  </si>
  <si>
    <t>Gregory Wang</t>
  </si>
  <si>
    <t>Helen Stewart</t>
  </si>
  <si>
    <t>Melissa Johnson</t>
  </si>
  <si>
    <t>Keith Nelson</t>
  </si>
  <si>
    <t>Eric Tanaka</t>
  </si>
  <si>
    <t>Gloria Ramirez</t>
  </si>
  <si>
    <t>Patricia Kim</t>
  </si>
  <si>
    <t>Ronald Cooper</t>
  </si>
  <si>
    <t>Howard Lin</t>
  </si>
  <si>
    <t>Ruth Simmons</t>
  </si>
  <si>
    <t>Sandra Mitchell</t>
  </si>
  <si>
    <t>Howard Blackwell</t>
  </si>
  <si>
    <t>Jeremy Thompson</t>
  </si>
  <si>
    <t>Cynthia Drake</t>
  </si>
  <si>
    <t>Kimberly Chen</t>
  </si>
  <si>
    <t>Vincent Marshall</t>
  </si>
  <si>
    <t>Patrick Sullivan</t>
  </si>
  <si>
    <t>Evelyn Rhodes</t>
  </si>
  <si>
    <t>Diana Wong</t>
  </si>
  <si>
    <t>Lawrence Griffin</t>
  </si>
  <si>
    <t>Raymond Lee</t>
  </si>
  <si>
    <t>Judith Palmer</t>
  </si>
  <si>
    <t>Vanessa Garcia</t>
  </si>
  <si>
    <t>Stanley Cross</t>
  </si>
  <si>
    <t>Derek Martin</t>
  </si>
  <si>
    <t>Marilyn Webb</t>
  </si>
  <si>
    <t>Julie Park</t>
  </si>
  <si>
    <t>Leonard Foster</t>
  </si>
  <si>
    <t>Marcus Davis</t>
  </si>
  <si>
    <t>Theresa Quinn</t>
  </si>
  <si>
    <t>Eleanor Kim</t>
  </si>
  <si>
    <t>Charles Hamilton</t>
  </si>
  <si>
    <t>Donald Chen</t>
  </si>
  <si>
    <t>Nancy Porter</t>
  </si>
  <si>
    <t>Sarah Yamamoto</t>
  </si>
  <si>
    <t>Franklin Shaw</t>
  </si>
  <si>
    <t>Bruce Lee</t>
  </si>
  <si>
    <t>Joan Mitchell</t>
  </si>
  <si>
    <t>Michelle Patel</t>
  </si>
  <si>
    <t>Gerald Davidson</t>
  </si>
  <si>
    <t>Victor Wang</t>
  </si>
  <si>
    <t>Alice Brennan</t>
  </si>
  <si>
    <t>Cynthia Kim</t>
  </si>
  <si>
    <t>Eugene Watts</t>
  </si>
  <si>
    <t>Arthur Santos</t>
  </si>
  <si>
    <t>Marie Coleman</t>
  </si>
  <si>
    <t>Linda Nguyen</t>
  </si>
  <si>
    <t>Henry Sutton</t>
  </si>
  <si>
    <t>Norman Park</t>
  </si>
  <si>
    <t>Grace Hartley</t>
  </si>
  <si>
    <t>Betty Liu</t>
  </si>
  <si>
    <t>Env Owner</t>
  </si>
  <si>
    <t>Alex Rivera (Dev Mgr)</t>
  </si>
  <si>
    <t>Sam Anderson (QA Lead)</t>
  </si>
  <si>
    <t>Rachel Green (Bus Analyst)</t>
  </si>
  <si>
    <t>Nathan Cole (Release Mgr)</t>
  </si>
  <si>
    <t>Victoria Sterling (Ops Mgr)</t>
  </si>
  <si>
    <t>Robert Shield (Infra Lead)</t>
  </si>
  <si>
    <t>Jordan Lee (Dev Mgr)</t>
  </si>
  <si>
    <t>Chris Park (QA Lead)</t>
  </si>
  <si>
    <t>Monica Geller (Bus Analyst)</t>
  </si>
  <si>
    <t>Ethan Black (Release Mgr)</t>
  </si>
  <si>
    <t>Elizabeth Crown (Ops Mgr)</t>
  </si>
  <si>
    <t>William Guard (Infra Lead)</t>
  </si>
  <si>
    <t>Casey Chen (Dev Mgr)</t>
  </si>
  <si>
    <t>Pat Murphy (QA Lead)</t>
  </si>
  <si>
    <t>Phoebe Buffay (Bus Analyst)</t>
  </si>
  <si>
    <t>Lucas White (Release Mgr)</t>
  </si>
  <si>
    <t>Catherine Royal (Ops Mgr)</t>
  </si>
  <si>
    <t>James Fortress (Infra Lead)</t>
  </si>
  <si>
    <t>Morgan Taylor (Dev Mgr)</t>
  </si>
  <si>
    <t>Jesse Garcia (QA Lead)</t>
  </si>
  <si>
    <t>Emma Watson (Bus Analyst)</t>
  </si>
  <si>
    <t>Mason Gray (Release Mgr)</t>
  </si>
  <si>
    <t>Margaret Noble (Ops Mgr)</t>
  </si>
  <si>
    <t>Michael Bastion (Infra Lead)</t>
  </si>
  <si>
    <t>Jamie Patel (Dev Mgr)</t>
  </si>
  <si>
    <t>Robin Chen (QA Lead)</t>
  </si>
  <si>
    <t>Sophie Turner (Bus Analyst)</t>
  </si>
  <si>
    <t>Logan Stone (Release Mgr)</t>
  </si>
  <si>
    <t>Diana Prince (Ops Mgr)</t>
  </si>
  <si>
    <t>David Tower (Infra Lead)</t>
  </si>
  <si>
    <t>Riley Kim (Dev Mgr)</t>
  </si>
  <si>
    <t>Dana Wilson (QA Lead)</t>
  </si>
  <si>
    <t>Mia Collins (Bus Analyst)</t>
  </si>
  <si>
    <t>Jacob Hill (Release Mgr)</t>
  </si>
  <si>
    <t>Helena Troy (Ops Mgr)</t>
  </si>
  <si>
    <t>Richard Wall (Infra Lead)</t>
  </si>
  <si>
    <t>Quinn Johnson (Dev Mgr)</t>
  </si>
  <si>
    <t>Kelly Nguyen (QA Lead)</t>
  </si>
  <si>
    <t>Isabella Moore (Bus Analyst)</t>
  </si>
  <si>
    <t>Aiden Clark (Release Mgr)</t>
  </si>
  <si>
    <t>Sophia Grace (Ops Mgr)</t>
  </si>
  <si>
    <t>Thomas Castle (Infra Lead)</t>
  </si>
  <si>
    <t>Avery Williams (Dev Mgr)</t>
  </si>
  <si>
    <t>Terry Brooks (QA Lead)</t>
  </si>
  <si>
    <t>Olivia James (Bus Analyst)</t>
  </si>
  <si>
    <t>Jackson Moore (Release Mgr)</t>
  </si>
  <si>
    <t>Alexandra Reid (Ops Mgr)</t>
  </si>
  <si>
    <t>Charles Vault (Infra Lead)</t>
  </si>
  <si>
    <t>Drew Martinez (Dev Mgr)</t>
  </si>
  <si>
    <t>Skyler Davis (QA Lead)</t>
  </si>
  <si>
    <t>Ava Mitchell (Bus Analyst)</t>
  </si>
  <si>
    <t>Sebastian Hall (Release Mgr)</t>
  </si>
  <si>
    <t>Christina Vale (Ops Mgr)</t>
  </si>
  <si>
    <t>Daniel Bunker (Infra Lead)</t>
  </si>
  <si>
    <t>Cameron Brown (Dev Mgr)</t>
  </si>
  <si>
    <t>Jordan Reed (QA Lead)</t>
  </si>
  <si>
    <t>Charlotte Price (Bus Analyst)</t>
  </si>
  <si>
    <t>Caleb Young (Release Mgr)</t>
  </si>
  <si>
    <t>Natasha Roman (Ops Mgr)</t>
  </si>
  <si>
    <t>Matthew Haven (Infra Lead)</t>
  </si>
  <si>
    <t>Taylor Singh (Dev Mgr)</t>
  </si>
  <si>
    <t>Alex Foster (QA Lead)</t>
  </si>
  <si>
    <t>Amelia Scott (Bus Analyst)</t>
  </si>
  <si>
    <t>Owen King (Release Mgr)</t>
  </si>
  <si>
    <t>Amanda Cross (Ops Mgr)</t>
  </si>
  <si>
    <t>Anthony Secure (Infra Lead)</t>
  </si>
  <si>
    <t>Blake Thompson (Dev Mgr)</t>
  </si>
  <si>
    <t>Morgan Hayes (QA Lead)</t>
  </si>
  <si>
    <t>Harper Lewis (Bus Analyst)</t>
  </si>
  <si>
    <t>Liam Wright (Release Mgr)</t>
  </si>
  <si>
    <t>Rebecca Stone (Ops Mgr)</t>
  </si>
  <si>
    <t>Mark Backup (Infra Lead)</t>
  </si>
  <si>
    <t>Application Owner</t>
  </si>
  <si>
    <t>ID</t>
  </si>
  <si>
    <t>Name</t>
  </si>
  <si>
    <t>Email</t>
  </si>
  <si>
    <t>Region</t>
  </si>
  <si>
    <t>Phone</t>
  </si>
  <si>
    <t>Specialization</t>
  </si>
  <si>
    <t>RM-001</t>
  </si>
  <si>
    <t>Nathan Cole</t>
  </si>
  <si>
    <t>nathan.cole@company.com</t>
  </si>
  <si>
    <t>North America</t>
  </si>
  <si>
    <t>+1-555-0101</t>
  </si>
  <si>
    <t>Active</t>
  </si>
  <si>
    <t>Finance &amp; HR Systems</t>
  </si>
  <si>
    <t>RM-002</t>
  </si>
  <si>
    <t>Ethan Black</t>
  </si>
  <si>
    <t>ethan.black@company.com</t>
  </si>
  <si>
    <t>+1-555-0102</t>
  </si>
  <si>
    <t>Manufacturing &amp; Logistics</t>
  </si>
  <si>
    <t>RM-003</t>
  </si>
  <si>
    <t>Lucas White</t>
  </si>
  <si>
    <t>lucas.white@company.com</t>
  </si>
  <si>
    <t>EMEA</t>
  </si>
  <si>
    <t>+44-20-5550103</t>
  </si>
  <si>
    <t>CRM &amp; Sales Systems</t>
  </si>
  <si>
    <t>RM-004</t>
  </si>
  <si>
    <t>Mason Gray</t>
  </si>
  <si>
    <t>mason.gray@company.com</t>
  </si>
  <si>
    <t>+44-20-5550104</t>
  </si>
  <si>
    <t>Security &amp; Infrastructure</t>
  </si>
  <si>
    <t>RM-005</t>
  </si>
  <si>
    <t>Logan Stone</t>
  </si>
  <si>
    <t>logan.stone@company.com</t>
  </si>
  <si>
    <t>APAC</t>
  </si>
  <si>
    <t>+61-2-5550105</t>
  </si>
  <si>
    <t>Legal &amp; Compliance</t>
  </si>
  <si>
    <t>RM-006</t>
  </si>
  <si>
    <t>Jacob Hill</t>
  </si>
  <si>
    <t>jacob.hill@company.com</t>
  </si>
  <si>
    <t>+61-2-5550106</t>
  </si>
  <si>
    <t>HR &amp; Talent Systems</t>
  </si>
  <si>
    <t>RM-007</t>
  </si>
  <si>
    <t>Aiden Clark</t>
  </si>
  <si>
    <t>aiden.clark@company.com</t>
  </si>
  <si>
    <t>+1-555-0107</t>
  </si>
  <si>
    <t>Integration &amp; Middleware</t>
  </si>
  <si>
    <t>RM-008</t>
  </si>
  <si>
    <t>Jackson Moore</t>
  </si>
  <si>
    <t>jackson.moore@company.com</t>
  </si>
  <si>
    <t>+44-20-5550108</t>
  </si>
  <si>
    <t>Data &amp; Analytics</t>
  </si>
  <si>
    <t>RM-009</t>
  </si>
  <si>
    <t>Sebastian Hall</t>
  </si>
  <si>
    <t>sebastian.hall@company.com</t>
  </si>
  <si>
    <t>LATAM</t>
  </si>
  <si>
    <t>+55-11-5550109</t>
  </si>
  <si>
    <t>ERP Systems</t>
  </si>
  <si>
    <t>RM-010</t>
  </si>
  <si>
    <t>Caleb Young</t>
  </si>
  <si>
    <t>caleb.young@company.com</t>
  </si>
  <si>
    <t>+1-555-0110</t>
  </si>
  <si>
    <t>Cloud &amp; SaaS Platforms</t>
  </si>
  <si>
    <t>RM-011</t>
  </si>
  <si>
    <t>Owen King</t>
  </si>
  <si>
    <t>owen.king@company.com</t>
  </si>
  <si>
    <t>+65-5550111</t>
  </si>
  <si>
    <t>Manufacturing Execution</t>
  </si>
  <si>
    <t>RM-012</t>
  </si>
  <si>
    <t>Liam Wright</t>
  </si>
  <si>
    <t>liam.wright@company.com</t>
  </si>
  <si>
    <t>+49-30-5550112</t>
  </si>
  <si>
    <t>On Leave</t>
  </si>
  <si>
    <t>Finance Reporting</t>
  </si>
  <si>
    <t>User ID</t>
  </si>
  <si>
    <t>Role</t>
  </si>
  <si>
    <t>Manager</t>
  </si>
  <si>
    <t>Access Level</t>
  </si>
  <si>
    <t>Last Login</t>
  </si>
  <si>
    <t>USR-001</t>
  </si>
  <si>
    <t>Alex Rivera</t>
  </si>
  <si>
    <t>alex.rivera@company.com</t>
  </si>
  <si>
    <t>Development Manager</t>
  </si>
  <si>
    <t>CTO Office</t>
  </si>
  <si>
    <t>Admin</t>
  </si>
  <si>
    <t>USR-002</t>
  </si>
  <si>
    <t>Jordan Lee</t>
  </si>
  <si>
    <t>jordan.lee@company.com</t>
  </si>
  <si>
    <t>USR-003</t>
  </si>
  <si>
    <t>Casey Chen</t>
  </si>
  <si>
    <t>casey.chen@company.com</t>
  </si>
  <si>
    <t>USR-004</t>
  </si>
  <si>
    <t>Morgan Taylor</t>
  </si>
  <si>
    <t>morgan.taylor@company.com</t>
  </si>
  <si>
    <t>USR-005</t>
  </si>
  <si>
    <t>Jamie Patel</t>
  </si>
  <si>
    <t>jamie.patel@company.com</t>
  </si>
  <si>
    <t>USR-006</t>
  </si>
  <si>
    <t>Riley Kim</t>
  </si>
  <si>
    <t>riley.kim@company.com</t>
  </si>
  <si>
    <t>USR-007</t>
  </si>
  <si>
    <t>Quinn Johnson</t>
  </si>
  <si>
    <t>quinn.johnson@company.com</t>
  </si>
  <si>
    <t>USR-008</t>
  </si>
  <si>
    <t>Avery Williams</t>
  </si>
  <si>
    <t>avery.williams@company.com</t>
  </si>
  <si>
    <t>USR-009</t>
  </si>
  <si>
    <t>Drew Martinez</t>
  </si>
  <si>
    <t>drew.martinez@company.com</t>
  </si>
  <si>
    <t>USR-010</t>
  </si>
  <si>
    <t>Cameron Brown</t>
  </si>
  <si>
    <t>cameron.brown@company.com</t>
  </si>
  <si>
    <t>USR-011</t>
  </si>
  <si>
    <t>Taylor Singh</t>
  </si>
  <si>
    <t>taylor.singh@company.com</t>
  </si>
  <si>
    <t>USR-012</t>
  </si>
  <si>
    <t>Blake Thompson</t>
  </si>
  <si>
    <t>blake.thompson@company.com</t>
  </si>
  <si>
    <t>USR-013</t>
  </si>
  <si>
    <t>Sam Anderson</t>
  </si>
  <si>
    <t>sam.anderson@company.com</t>
  </si>
  <si>
    <t>QA Lead</t>
  </si>
  <si>
    <t>QA</t>
  </si>
  <si>
    <t>QA Director</t>
  </si>
  <si>
    <t>USR-014</t>
  </si>
  <si>
    <t>Chris Park</t>
  </si>
  <si>
    <t>chris.park@company.com</t>
  </si>
  <si>
    <t>USR-015</t>
  </si>
  <si>
    <t>Pat Murphy</t>
  </si>
  <si>
    <t>pat.murphy@company.com</t>
  </si>
  <si>
    <t>USR-016</t>
  </si>
  <si>
    <t>Jesse Garcia</t>
  </si>
  <si>
    <t>jesse.garcia@company.com</t>
  </si>
  <si>
    <t>USR-017</t>
  </si>
  <si>
    <t>Robin Chen</t>
  </si>
  <si>
    <t>robin.chen@company.com</t>
  </si>
  <si>
    <t>USR-018</t>
  </si>
  <si>
    <t>Dana Wilson</t>
  </si>
  <si>
    <t>dana.wilson@company.com</t>
  </si>
  <si>
    <t>USR-019</t>
  </si>
  <si>
    <t>Kelly Nguyen</t>
  </si>
  <si>
    <t>kelly.nguyen@company.com</t>
  </si>
  <si>
    <t>USR-020</t>
  </si>
  <si>
    <t>Terry Brooks</t>
  </si>
  <si>
    <t>terry.brooks@company.com</t>
  </si>
  <si>
    <t>USR-021</t>
  </si>
  <si>
    <t>Skyler Davis</t>
  </si>
  <si>
    <t>skyler.davis@company.com</t>
  </si>
  <si>
    <t>USR-022</t>
  </si>
  <si>
    <t>Jordan Reed</t>
  </si>
  <si>
    <t>jordan.reed@company.com</t>
  </si>
  <si>
    <t>USR-023</t>
  </si>
  <si>
    <t>Alex Foster</t>
  </si>
  <si>
    <t>alex.foster@company.com</t>
  </si>
  <si>
    <t>USR-024</t>
  </si>
  <si>
    <t>Morgan Hayes</t>
  </si>
  <si>
    <t>morgan.hayes@company.com</t>
  </si>
  <si>
    <t>USR-025</t>
  </si>
  <si>
    <t>rachel.green@company.com</t>
  </si>
  <si>
    <t>Business Analyst</t>
  </si>
  <si>
    <t>Business Ops</t>
  </si>
  <si>
    <t>BA Manager</t>
  </si>
  <si>
    <t>USR-026</t>
  </si>
  <si>
    <t>Monica Geller</t>
  </si>
  <si>
    <t>monica.geller@company.com</t>
  </si>
  <si>
    <t>USR-027</t>
  </si>
  <si>
    <t>Phoebe Buffay</t>
  </si>
  <si>
    <t>phoebe.buffay@company.com</t>
  </si>
  <si>
    <t>USR-028</t>
  </si>
  <si>
    <t>Emma Watson</t>
  </si>
  <si>
    <t>emma.watson@company.com</t>
  </si>
  <si>
    <t>USR-029</t>
  </si>
  <si>
    <t>Sophie Turner</t>
  </si>
  <si>
    <t>sophie.turner@company.com</t>
  </si>
  <si>
    <t>USR-030</t>
  </si>
  <si>
    <t>Mia Collins</t>
  </si>
  <si>
    <t>mia.collins@company.com</t>
  </si>
  <si>
    <t>USR-031</t>
  </si>
  <si>
    <t>Isabella Moore</t>
  </si>
  <si>
    <t>isabella.moore@company.com</t>
  </si>
  <si>
    <t>USR-032</t>
  </si>
  <si>
    <t>Olivia James</t>
  </si>
  <si>
    <t>olivia.james@company.com</t>
  </si>
  <si>
    <t>USR-033</t>
  </si>
  <si>
    <t>Ava Mitchell</t>
  </si>
  <si>
    <t>ava.mitchell@company.com</t>
  </si>
  <si>
    <t>USR-034</t>
  </si>
  <si>
    <t>Charlotte Price</t>
  </si>
  <si>
    <t>charlotte.price@company.com</t>
  </si>
  <si>
    <t>USR-035</t>
  </si>
  <si>
    <t>Amelia Scott</t>
  </si>
  <si>
    <t>amelia.scott@company.com</t>
  </si>
  <si>
    <t>USR-036</t>
  </si>
  <si>
    <t>Harper Lewis</t>
  </si>
  <si>
    <t>harper.lewis@company.com</t>
  </si>
  <si>
    <t>USR-037</t>
  </si>
  <si>
    <t>Release Manager</t>
  </si>
  <si>
    <t>IT Director</t>
  </si>
  <si>
    <t>USR-038</t>
  </si>
  <si>
    <t>USR-039</t>
  </si>
  <si>
    <t>USR-040</t>
  </si>
  <si>
    <t>USR-041</t>
  </si>
  <si>
    <t>USR-042</t>
  </si>
  <si>
    <t>USR-043</t>
  </si>
  <si>
    <t>USR-044</t>
  </si>
  <si>
    <t>USR-045</t>
  </si>
  <si>
    <t>USR-046</t>
  </si>
  <si>
    <t>USR-047</t>
  </si>
  <si>
    <t>USR-048</t>
  </si>
  <si>
    <t>USR-049</t>
  </si>
  <si>
    <t>Victoria Sterling</t>
  </si>
  <si>
    <t>victoria.sterling@company.com</t>
  </si>
  <si>
    <t>Operations Manager</t>
  </si>
  <si>
    <t>Operations</t>
  </si>
  <si>
    <t>VP Operations</t>
  </si>
  <si>
    <t>USR-050</t>
  </si>
  <si>
    <t>Elizabeth Crown</t>
  </si>
  <si>
    <t>elizabeth.crown@company.com</t>
  </si>
  <si>
    <t>USR-051</t>
  </si>
  <si>
    <t>Catherine Royal</t>
  </si>
  <si>
    <t>catherine.royal@company.com</t>
  </si>
  <si>
    <t>USR-052</t>
  </si>
  <si>
    <t>Margaret Noble</t>
  </si>
  <si>
    <t>margaret.noble@company.com</t>
  </si>
  <si>
    <t>USR-053</t>
  </si>
  <si>
    <t>Diana Prince</t>
  </si>
  <si>
    <t>diana.prince@company.com</t>
  </si>
  <si>
    <t>USR-054</t>
  </si>
  <si>
    <t>Helena Troy</t>
  </si>
  <si>
    <t>helena.troy@company.com</t>
  </si>
  <si>
    <t>USR-055</t>
  </si>
  <si>
    <t>Sophia Grace</t>
  </si>
  <si>
    <t>sophia.grace@company.com</t>
  </si>
  <si>
    <t>USR-056</t>
  </si>
  <si>
    <t>Alexandra Reid</t>
  </si>
  <si>
    <t>alexandra.reid@company.com</t>
  </si>
  <si>
    <t>USR-057</t>
  </si>
  <si>
    <t>Christina Vale</t>
  </si>
  <si>
    <t>christina.vale@company.com</t>
  </si>
  <si>
    <t>USR-058</t>
  </si>
  <si>
    <t>Natasha Roman</t>
  </si>
  <si>
    <t>natasha.roman@company.com</t>
  </si>
  <si>
    <t>USR-059</t>
  </si>
  <si>
    <t>Amanda Cross</t>
  </si>
  <si>
    <t>amanda.cross@company.com</t>
  </si>
  <si>
    <t>USR-060</t>
  </si>
  <si>
    <t>Rebecca Stone</t>
  </si>
  <si>
    <t>rebecca.stone@company.com</t>
  </si>
  <si>
    <t>USR-061</t>
  </si>
  <si>
    <t>Robert Shield</t>
  </si>
  <si>
    <t>robert.shield@company.com</t>
  </si>
  <si>
    <t>Infrastructure Lead</t>
  </si>
  <si>
    <t>Infrastructure</t>
  </si>
  <si>
    <t>Infra Director</t>
  </si>
  <si>
    <t>USR-062</t>
  </si>
  <si>
    <t>William Guard</t>
  </si>
  <si>
    <t>william.guard@company.com</t>
  </si>
  <si>
    <t>USR-063</t>
  </si>
  <si>
    <t>James Fortress</t>
  </si>
  <si>
    <t>james.fortress@company.com</t>
  </si>
  <si>
    <t>USR-064</t>
  </si>
  <si>
    <t>Michael Bastion</t>
  </si>
  <si>
    <t>michael.bastion@company.com</t>
  </si>
  <si>
    <t>USR-065</t>
  </si>
  <si>
    <t>David Tower</t>
  </si>
  <si>
    <t>david.tower@company.com</t>
  </si>
  <si>
    <t>USR-066</t>
  </si>
  <si>
    <t>Richard Wall</t>
  </si>
  <si>
    <t>richard.wall@company.com</t>
  </si>
  <si>
    <t>USR-067</t>
  </si>
  <si>
    <t>Thomas Castle</t>
  </si>
  <si>
    <t>thomas.castle@company.com</t>
  </si>
  <si>
    <t>USR-068</t>
  </si>
  <si>
    <t>Charles Vault</t>
  </si>
  <si>
    <t>charles.vault@company.com</t>
  </si>
  <si>
    <t>USR-069</t>
  </si>
  <si>
    <t>Daniel Bunker</t>
  </si>
  <si>
    <t>daniel.bunker@company.com</t>
  </si>
  <si>
    <t>USR-070</t>
  </si>
  <si>
    <t>Matthew Haven</t>
  </si>
  <si>
    <t>matthew.haven@company.com</t>
  </si>
  <si>
    <t>USR-071</t>
  </si>
  <si>
    <t>Anthony Secure</t>
  </si>
  <si>
    <t>anthony.secure@company.com</t>
  </si>
  <si>
    <t>USR-072</t>
  </si>
  <si>
    <t>Mark Backup</t>
  </si>
  <si>
    <t>mark.backup@company.com</t>
  </si>
  <si>
    <t>USR-073</t>
  </si>
  <si>
    <t>sarah.mitchell@company.com</t>
  </si>
  <si>
    <t>Finance Director</t>
  </si>
  <si>
    <t>USR-074</t>
  </si>
  <si>
    <t>david.chen@company.com</t>
  </si>
  <si>
    <t>USR-075</t>
  </si>
  <si>
    <t>brian.murphy@company.com</t>
  </si>
  <si>
    <t>Logistics Director</t>
  </si>
  <si>
    <t>USR-076</t>
  </si>
  <si>
    <t>matthew.clarke@company.com</t>
  </si>
  <si>
    <t>Sales Director</t>
  </si>
  <si>
    <t>USR-077</t>
  </si>
  <si>
    <t>richard.hoffman@company.com</t>
  </si>
  <si>
    <t>Mfg Director</t>
  </si>
  <si>
    <t>USR-078</t>
  </si>
  <si>
    <t>christopher.blake@company.com</t>
  </si>
  <si>
    <t>USR-079</t>
  </si>
  <si>
    <t>daniel.crawford@company.com</t>
  </si>
  <si>
    <t>HR Director</t>
  </si>
  <si>
    <t>USR-080</t>
  </si>
  <si>
    <t>howard.blackwell@company.com</t>
  </si>
  <si>
    <t>Legal Director</t>
  </si>
  <si>
    <t>USR-081</t>
  </si>
  <si>
    <t>charles.hamilton@company.com</t>
  </si>
  <si>
    <t>CISO</t>
  </si>
  <si>
    <t>USR-082</t>
  </si>
  <si>
    <t>james.wilson@company.com</t>
  </si>
  <si>
    <t>App Owner</t>
  </si>
  <si>
    <t>USR-083</t>
  </si>
  <si>
    <t>marcus.johnson@company.com</t>
  </si>
  <si>
    <t>USR-084</t>
  </si>
  <si>
    <t>carlos.mendez@company.com</t>
  </si>
  <si>
    <t>USR-085</t>
  </si>
  <si>
    <t>kenneth.wright@company.com</t>
  </si>
  <si>
    <t>USR-086</t>
  </si>
  <si>
    <t>jeffrey.kumar@company.com</t>
  </si>
  <si>
    <t>USR-087</t>
  </si>
  <si>
    <t>nicholas.chen@company.com</t>
  </si>
  <si>
    <t>USR-088</t>
  </si>
  <si>
    <t>Michael Sterling</t>
  </si>
  <si>
    <t>michael.sterling@company.com</t>
  </si>
  <si>
    <t>CTO</t>
  </si>
  <si>
    <t>Executive</t>
  </si>
  <si>
    <t>CEO</t>
  </si>
  <si>
    <t>USR-089</t>
  </si>
  <si>
    <t>Jennifer Morrison</t>
  </si>
  <si>
    <t>jennifer.morrison@company.com</t>
  </si>
  <si>
    <t>CIO</t>
  </si>
  <si>
    <t>USR-090</t>
  </si>
  <si>
    <t>Robert Anderson</t>
  </si>
  <si>
    <t>robert.anderson@company.com</t>
  </si>
  <si>
    <t>CFO</t>
  </si>
  <si>
    <t>USR-091</t>
  </si>
  <si>
    <t>Linda Prescott</t>
  </si>
  <si>
    <t>linda.prescott@company.com</t>
  </si>
  <si>
    <t>VP Engineering</t>
  </si>
  <si>
    <t>USR-092</t>
  </si>
  <si>
    <t>Thomas Reynolds</t>
  </si>
  <si>
    <t>thomas.reynolds@company.com</t>
  </si>
  <si>
    <t>COO</t>
  </si>
  <si>
    <t>USR-093</t>
  </si>
  <si>
    <t>emily.zhang@company.com</t>
  </si>
  <si>
    <t>Senior Developer</t>
  </si>
  <si>
    <t>Dev Manager</t>
  </si>
  <si>
    <t>USR-094</t>
  </si>
  <si>
    <t>michael.brown@company.com</t>
  </si>
  <si>
    <t>USR-095</t>
  </si>
  <si>
    <t>priya.sharma@company.com</t>
  </si>
  <si>
    <t>Database Admin</t>
  </si>
  <si>
    <t>Infra Lead</t>
  </si>
  <si>
    <t>USR-096</t>
  </si>
  <si>
    <t>angela.liu@company.com</t>
  </si>
  <si>
    <t>Systems Analyst</t>
  </si>
  <si>
    <t>USR-097</t>
  </si>
  <si>
    <t>ryan.cooper@company.com</t>
  </si>
  <si>
    <t>DevOps Engineer</t>
  </si>
  <si>
    <t>USR-098</t>
  </si>
  <si>
    <t>jessica.nguyen@company.com</t>
  </si>
  <si>
    <t>Security Analyst</t>
  </si>
  <si>
    <t>USR-099</t>
  </si>
  <si>
    <t>brandon.lee@company.com</t>
  </si>
  <si>
    <t>Network Engineer</t>
  </si>
  <si>
    <t>USR-100</t>
  </si>
  <si>
    <t>michelle.davis@company.com</t>
  </si>
  <si>
    <t>Project Manager</t>
  </si>
  <si>
    <t>PMO</t>
  </si>
  <si>
    <t>PMO Director</t>
  </si>
  <si>
    <t>App ID</t>
  </si>
  <si>
    <t>Version</t>
  </si>
  <si>
    <t>Build Number</t>
  </si>
  <si>
    <t>Deploy Date</t>
  </si>
  <si>
    <t>Deployed By</t>
  </si>
  <si>
    <t>APP-001</t>
  </si>
  <si>
    <t>2026.3.0-beta</t>
  </si>
  <si>
    <t>Build-45892</t>
  </si>
  <si>
    <t>Latest features in testing</t>
  </si>
  <si>
    <t>2026.2.5</t>
  </si>
  <si>
    <t>Build-45721</t>
  </si>
  <si>
    <t>QA validation in progress</t>
  </si>
  <si>
    <t>2026.2.3</t>
  </si>
  <si>
    <t>Build-45650</t>
  </si>
  <si>
    <t>Business sign-off pending</t>
  </si>
  <si>
    <t>2026.2.1</t>
  </si>
  <si>
    <t>Build-45580</t>
  </si>
  <si>
    <t>Ready for production</t>
  </si>
  <si>
    <t>2026.2.0-GA</t>
  </si>
  <si>
    <t>Build-45500</t>
  </si>
  <si>
    <t>Current production version</t>
  </si>
  <si>
    <t>Mirrors production</t>
  </si>
  <si>
    <t>APP-002</t>
  </si>
  <si>
    <t>5.8.2-alpha</t>
  </si>
  <si>
    <t>Build-12340</t>
  </si>
  <si>
    <t>New planning module</t>
  </si>
  <si>
    <t>5.8.1</t>
  </si>
  <si>
    <t>Build-12280</t>
  </si>
  <si>
    <t>Regression testing</t>
  </si>
  <si>
    <t>5.7.5</t>
  </si>
  <si>
    <t>Build-12150</t>
  </si>
  <si>
    <t>User acceptance</t>
  </si>
  <si>
    <t>5.7.4</t>
  </si>
  <si>
    <t>Build-12100</t>
  </si>
  <si>
    <t>Performance verified</t>
  </si>
  <si>
    <t>5.7.3-GA</t>
  </si>
  <si>
    <t>Build-12050</t>
  </si>
  <si>
    <t>Stable release</t>
  </si>
  <si>
    <t>DR sync complete</t>
  </si>
  <si>
    <t>APP-003</t>
  </si>
  <si>
    <t>10.5.0-dev</t>
  </si>
  <si>
    <t>Build-78901</t>
  </si>
  <si>
    <t>Route optimization update</t>
  </si>
  <si>
    <t>10.4.8</t>
  </si>
  <si>
    <t>Build-78800</t>
  </si>
  <si>
    <t>Integration tests</t>
  </si>
  <si>
    <t>10.4.6</t>
  </si>
  <si>
    <t>Build-78700</t>
  </si>
  <si>
    <t>Carrier testing</t>
  </si>
  <si>
    <t>10.4.5</t>
  </si>
  <si>
    <t>Build-78650</t>
  </si>
  <si>
    <t>Load tested</t>
  </si>
  <si>
    <t>10.4.4-GA</t>
  </si>
  <si>
    <t>Build-78600</t>
  </si>
  <si>
    <t>Production stable</t>
  </si>
  <si>
    <t>Failover tested</t>
  </si>
  <si>
    <t>APP-004</t>
  </si>
  <si>
    <t>Spring'26.3-beta</t>
  </si>
  <si>
    <t>Build-SF2603</t>
  </si>
  <si>
    <t>Lightning update</t>
  </si>
  <si>
    <t>Spring'26.2</t>
  </si>
  <si>
    <t>Build-SF2602</t>
  </si>
  <si>
    <t>API testing</t>
  </si>
  <si>
    <t>Spring'26.1</t>
  </si>
  <si>
    <t>Build-SF2601</t>
  </si>
  <si>
    <t>Sales team review</t>
  </si>
  <si>
    <t>Winter'26.5</t>
  </si>
  <si>
    <t>Build-SF2605</t>
  </si>
  <si>
    <t>Sandbox refresh done</t>
  </si>
  <si>
    <t>Winter'26.4-GA</t>
  </si>
  <si>
    <t>Build-SF2604</t>
  </si>
  <si>
    <t>Current release</t>
  </si>
  <si>
    <t>DR active</t>
  </si>
  <si>
    <t>APP-005</t>
  </si>
  <si>
    <t>2026.Q2.3-dev</t>
  </si>
  <si>
    <t>Build-MFG890</t>
  </si>
  <si>
    <t>MES integration</t>
  </si>
  <si>
    <t>2026.Q2.2</t>
  </si>
  <si>
    <t>Build-MFG880</t>
  </si>
  <si>
    <t>Shop floor tests</t>
  </si>
  <si>
    <t>2026.Q2.1</t>
  </si>
  <si>
    <t>Build-MFG870</t>
  </si>
  <si>
    <t>Plant validation</t>
  </si>
  <si>
    <t>2026.Q1.5</t>
  </si>
  <si>
    <t>Build-MFG860</t>
  </si>
  <si>
    <t>Capacity tested</t>
  </si>
  <si>
    <t>2026.Q1.4-GA</t>
  </si>
  <si>
    <t>Build-MFG850</t>
  </si>
  <si>
    <t>Running in 3 plants</t>
  </si>
  <si>
    <t>Geo-redundant</t>
  </si>
  <si>
    <t>APP-006</t>
  </si>
  <si>
    <t>Tokyo-P3-dev</t>
  </si>
  <si>
    <t>Build-SN5502</t>
  </si>
  <si>
    <t>CMDB enhancements</t>
  </si>
  <si>
    <t>Tokyo-P2</t>
  </si>
  <si>
    <t>Build-SN5501</t>
  </si>
  <si>
    <t>Workflow testing</t>
  </si>
  <si>
    <t>Tokyo-P1</t>
  </si>
  <si>
    <t>Build-SN5500</t>
  </si>
  <si>
    <t>IT team sign-off</t>
  </si>
  <si>
    <t>San Diego-P5</t>
  </si>
  <si>
    <t>Build-SN5405</t>
  </si>
  <si>
    <t>Performance OK</t>
  </si>
  <si>
    <t>San Diego-P4-GA</t>
  </si>
  <si>
    <t>Build-SN5404</t>
  </si>
  <si>
    <t>All modules active</t>
  </si>
  <si>
    <t>HA configured</t>
  </si>
  <si>
    <t>APP-007</t>
  </si>
  <si>
    <t>2026R2-dev</t>
  </si>
  <si>
    <t>Build-WD2602</t>
  </si>
  <si>
    <t>Talent module update</t>
  </si>
  <si>
    <t>2026R1.5</t>
  </si>
  <si>
    <t>Build-WD2615</t>
  </si>
  <si>
    <t>Payroll integration</t>
  </si>
  <si>
    <t>2026R1.4</t>
  </si>
  <si>
    <t>Build-WD2614</t>
  </si>
  <si>
    <t>HR validation</t>
  </si>
  <si>
    <t>2026R1.3</t>
  </si>
  <si>
    <t>Build-WD2613</t>
  </si>
  <si>
    <t>Data migration done</t>
  </si>
  <si>
    <t>2026R1.2-GA</t>
  </si>
  <si>
    <t>Build-WD2612</t>
  </si>
  <si>
    <t>Global rollout</t>
  </si>
  <si>
    <t>Cross-region sync</t>
  </si>
  <si>
    <t>APP-008</t>
  </si>
  <si>
    <t>23.5.0-beta</t>
  </si>
  <si>
    <t>Build-DS2350</t>
  </si>
  <si>
    <t>AI clause analysis</t>
  </si>
  <si>
    <t>23.4.3</t>
  </si>
  <si>
    <t>Build-DS2343</t>
  </si>
  <si>
    <t>E-signature tests</t>
  </si>
  <si>
    <t>23.4.2</t>
  </si>
  <si>
    <t>Build-DS2342</t>
  </si>
  <si>
    <t>Legal review</t>
  </si>
  <si>
    <t>23.4.1</t>
  </si>
  <si>
    <t>Build-DS2341</t>
  </si>
  <si>
    <t>Compliance verified</t>
  </si>
  <si>
    <t>23.4.0-GA</t>
  </si>
  <si>
    <t>Build-DS2340</t>
  </si>
  <si>
    <t>All templates live</t>
  </si>
  <si>
    <t>Cloud DR active</t>
  </si>
  <si>
    <t>APP-009</t>
  </si>
  <si>
    <t>7.2.0-alpha</t>
  </si>
  <si>
    <t>Build-CS720</t>
  </si>
  <si>
    <t>New threat models</t>
  </si>
  <si>
    <t>7.1.5</t>
  </si>
  <si>
    <t>Build-CS715</t>
  </si>
  <si>
    <t>Detection testing</t>
  </si>
  <si>
    <t>7.1.4</t>
  </si>
  <si>
    <t>Build-CS714</t>
  </si>
  <si>
    <t>SOC validation</t>
  </si>
  <si>
    <t>7.1.3</t>
  </si>
  <si>
    <t>Build-CS713</t>
  </si>
  <si>
    <t>Sensor verified</t>
  </si>
  <si>
    <t>7.1.2-GA</t>
  </si>
  <si>
    <t>Build-CS712</t>
  </si>
  <si>
    <t>All endpoints</t>
  </si>
  <si>
    <t>24/7 monitoring</t>
  </si>
  <si>
    <t>APP-010</t>
  </si>
  <si>
    <t>9.3.0-dev</t>
  </si>
  <si>
    <t>Build-SP930</t>
  </si>
  <si>
    <t>ML features</t>
  </si>
  <si>
    <t>9.2.5</t>
  </si>
  <si>
    <t>Build-SP925</t>
  </si>
  <si>
    <t>Index testing</t>
  </si>
  <si>
    <t>9.2.4</t>
  </si>
  <si>
    <t>Build-SP924</t>
  </si>
  <si>
    <t>Dashboard review</t>
  </si>
  <si>
    <t>9.2.3</t>
  </si>
  <si>
    <t>Build-SP923</t>
  </si>
  <si>
    <t>License validated</t>
  </si>
  <si>
    <t>9.2.2-GA</t>
  </si>
  <si>
    <t>Build-SP922</t>
  </si>
  <si>
    <t>Heavy forwarders</t>
  </si>
  <si>
    <t>Search head cluster</t>
  </si>
  <si>
    <t>APP-011</t>
  </si>
  <si>
    <t>R33.1-dev</t>
  </si>
  <si>
    <t>Build-CP3310</t>
  </si>
  <si>
    <t>Supplier portal update</t>
  </si>
  <si>
    <t>R33.0</t>
  </si>
  <si>
    <t>Build-CP3300</t>
  </si>
  <si>
    <t>Invoice testing</t>
  </si>
  <si>
    <t>R32.5</t>
  </si>
  <si>
    <t>Build-CP3250</t>
  </si>
  <si>
    <t>Procurement review</t>
  </si>
  <si>
    <t>R32.4</t>
  </si>
  <si>
    <t>Build-CP3240</t>
  </si>
  <si>
    <t>Integration verified</t>
  </si>
  <si>
    <t>R32.3-GA</t>
  </si>
  <si>
    <t>Build-CP3230</t>
  </si>
  <si>
    <t>P2P live</t>
  </si>
  <si>
    <t>Cloud backup</t>
  </si>
  <si>
    <t>APP-012</t>
  </si>
  <si>
    <t>10.0.38-dev</t>
  </si>
  <si>
    <t>Build-D365038</t>
  </si>
  <si>
    <t>Copilot features</t>
  </si>
  <si>
    <t>10.0.37</t>
  </si>
  <si>
    <t>Build-D365037</t>
  </si>
  <si>
    <t>Plugin testing</t>
  </si>
  <si>
    <t>10.0.36</t>
  </si>
  <si>
    <t>Build-D365036</t>
  </si>
  <si>
    <t>10.0.35</t>
  </si>
  <si>
    <t>Build-D365035</t>
  </si>
  <si>
    <t>Data sync done</t>
  </si>
  <si>
    <t>10.0.34-GA</t>
  </si>
  <si>
    <t>Build-D365034</t>
  </si>
  <si>
    <t>Multi-region</t>
  </si>
  <si>
    <t>Azure failover</t>
  </si>
  <si>
    <t>APP-013</t>
  </si>
  <si>
    <t>2026.2.0-dev</t>
  </si>
  <si>
    <t>Build-OPC260</t>
  </si>
  <si>
    <t>Digital twin update</t>
  </si>
  <si>
    <t>2026.1.5</t>
  </si>
  <si>
    <t>Build-OPC255</t>
  </si>
  <si>
    <t>2026.1.4</t>
  </si>
  <si>
    <t>Build-OPC254</t>
  </si>
  <si>
    <t>Plant floor review</t>
  </si>
  <si>
    <t>2026.1.3</t>
  </si>
  <si>
    <t>Build-OPC253</t>
  </si>
  <si>
    <t>2026.1.2-GA</t>
  </si>
  <si>
    <t>Build-OPC252</t>
  </si>
  <si>
    <t>4 plants live</t>
  </si>
  <si>
    <t>Hot standby</t>
  </si>
  <si>
    <t>APP-014</t>
  </si>
  <si>
    <t>2H-2026-dev</t>
  </si>
  <si>
    <t>Build-SF2H26</t>
  </si>
  <si>
    <t>Performance mgmt</t>
  </si>
  <si>
    <t>1H-2026.5</t>
  </si>
  <si>
    <t>Build-SF1H25</t>
  </si>
  <si>
    <t>Goal setting test</t>
  </si>
  <si>
    <t>1H-2026.4</t>
  </si>
  <si>
    <t>Build-SF1H24</t>
  </si>
  <si>
    <t>Employee review</t>
  </si>
  <si>
    <t>1H-2026.3</t>
  </si>
  <si>
    <t>Build-SF1H23</t>
  </si>
  <si>
    <t>Integration OK</t>
  </si>
  <si>
    <t>1H-2026.2-GA</t>
  </si>
  <si>
    <t>Build-SF1H22</t>
  </si>
  <si>
    <t>Global HCM</t>
  </si>
  <si>
    <t>Cloud DR</t>
  </si>
  <si>
    <t>APP-015</t>
  </si>
  <si>
    <t>10.5.0-beta</t>
  </si>
  <si>
    <t>Build-IM1050</t>
  </si>
  <si>
    <t>Matter mgmt update</t>
  </si>
  <si>
    <t>Build-IM1045</t>
  </si>
  <si>
    <t>Doc search tests</t>
  </si>
  <si>
    <t>10.4.4</t>
  </si>
  <si>
    <t>Build-IM1044</t>
  </si>
  <si>
    <t>Legal team review</t>
  </si>
  <si>
    <t>10.4.3</t>
  </si>
  <si>
    <t>Build-IM1043</t>
  </si>
  <si>
    <t>Security verified</t>
  </si>
  <si>
    <t>10.4.2-GA</t>
  </si>
  <si>
    <t>Build-IM1042</t>
  </si>
  <si>
    <t>Firm-wide</t>
  </si>
  <si>
    <t>Replicated</t>
  </si>
  <si>
    <t>APP-016</t>
  </si>
  <si>
    <t>2026.05.2-dev</t>
  </si>
  <si>
    <t>Build-OK0502</t>
  </si>
  <si>
    <t>MFA enhancement</t>
  </si>
  <si>
    <t>2026.05.1</t>
  </si>
  <si>
    <t>Build-OK0501</t>
  </si>
  <si>
    <t>SSO testing</t>
  </si>
  <si>
    <t>2026.04.5</t>
  </si>
  <si>
    <t>Build-OK0405</t>
  </si>
  <si>
    <t>Access review</t>
  </si>
  <si>
    <t>2026.04.4</t>
  </si>
  <si>
    <t>Build-OK0404</t>
  </si>
  <si>
    <t>Policy verified</t>
  </si>
  <si>
    <t>2026.04.3-GA</t>
  </si>
  <si>
    <t>Build-OK0403</t>
  </si>
  <si>
    <t>Enterprise IAM</t>
  </si>
  <si>
    <t>Federated DR</t>
  </si>
  <si>
    <t>APP-017</t>
  </si>
  <si>
    <t>2026.3-dev</t>
  </si>
  <si>
    <t>Build-BY263</t>
  </si>
  <si>
    <t>AI forecasting</t>
  </si>
  <si>
    <t>Build-BY2625</t>
  </si>
  <si>
    <t>Wave planning test</t>
  </si>
  <si>
    <t>2026.2.4</t>
  </si>
  <si>
    <t>Build-BY2624</t>
  </si>
  <si>
    <t>Warehouse review</t>
  </si>
  <si>
    <t>Build-BY2623</t>
  </si>
  <si>
    <t>Peak load OK</t>
  </si>
  <si>
    <t>2026.2.2-GA</t>
  </si>
  <si>
    <t>Build-BY2622</t>
  </si>
  <si>
    <t>5 DCs live</t>
  </si>
  <si>
    <t>Regional backup</t>
  </si>
  <si>
    <t>APP-018</t>
  </si>
  <si>
    <t>1.8.0-dev</t>
  </si>
  <si>
    <t>Build-TF180</t>
  </si>
  <si>
    <t>Provider updates</t>
  </si>
  <si>
    <t>1.7.5</t>
  </si>
  <si>
    <t>Build-TF175</t>
  </si>
  <si>
    <t>Module testing</t>
  </si>
  <si>
    <t>1.7.4</t>
  </si>
  <si>
    <t>Build-TF174</t>
  </si>
  <si>
    <t>Infra review</t>
  </si>
  <si>
    <t>1.7.3</t>
  </si>
  <si>
    <t>Build-TF173</t>
  </si>
  <si>
    <t>State migrated</t>
  </si>
  <si>
    <t>1.7.2-GA</t>
  </si>
  <si>
    <t>Build-TF172</t>
  </si>
  <si>
    <t>IaC platform</t>
  </si>
  <si>
    <t>Workspace sync</t>
  </si>
  <si>
    <t>APP-019</t>
  </si>
  <si>
    <t>11.2.14-dev</t>
  </si>
  <si>
    <t>Build-HFM214</t>
  </si>
  <si>
    <t>Consolidation rules</t>
  </si>
  <si>
    <t>11.2.13</t>
  </si>
  <si>
    <t>Build-HFM213</t>
  </si>
  <si>
    <t>Close cycle test</t>
  </si>
  <si>
    <t>11.2.12</t>
  </si>
  <si>
    <t>Build-HFM212</t>
  </si>
  <si>
    <t>Finance review</t>
  </si>
  <si>
    <t>11.2.11</t>
  </si>
  <si>
    <t>Build-HFM211</t>
  </si>
  <si>
    <t>Period close OK</t>
  </si>
  <si>
    <t>11.2.10-GA</t>
  </si>
  <si>
    <t>Build-HFM210</t>
  </si>
  <si>
    <t>Multi-entity</t>
  </si>
  <si>
    <t>Oracle RAC DR</t>
  </si>
  <si>
    <t>APP-020</t>
  </si>
  <si>
    <t>2026.Q2-dev</t>
  </si>
  <si>
    <t>Build-HS26Q2</t>
  </si>
  <si>
    <t>Marketing hub</t>
  </si>
  <si>
    <t>Build-HS26Q15</t>
  </si>
  <si>
    <t>Campaign tests</t>
  </si>
  <si>
    <t>2026.Q1.4</t>
  </si>
  <si>
    <t>Build-HS26Q14</t>
  </si>
  <si>
    <t>Marketing review</t>
  </si>
  <si>
    <t>2026.Q1.3</t>
  </si>
  <si>
    <t>Build-HS26Q13</t>
  </si>
  <si>
    <t>API verified</t>
  </si>
  <si>
    <t>2026.Q1.2-GA</t>
  </si>
  <si>
    <t>Build-HS26Q12</t>
  </si>
  <si>
    <t>All hubs live</t>
  </si>
  <si>
    <t>Cloud native DR</t>
  </si>
  <si>
    <t>APP-021</t>
  </si>
  <si>
    <t>5.15.0-dev</t>
  </si>
  <si>
    <t>Build-JSM515</t>
  </si>
  <si>
    <t>AI agent update</t>
  </si>
  <si>
    <t>5.14.5</t>
  </si>
  <si>
    <t>Build-JSM5145</t>
  </si>
  <si>
    <t>Queue testing</t>
  </si>
  <si>
    <t>5.14.4</t>
  </si>
  <si>
    <t>Build-JSM5144</t>
  </si>
  <si>
    <t>Help desk review</t>
  </si>
  <si>
    <t>5.14.3</t>
  </si>
  <si>
    <t>Build-JSM5143</t>
  </si>
  <si>
    <t>SLA config OK</t>
  </si>
  <si>
    <t>5.14.2-GA</t>
  </si>
  <si>
    <t>Build-JSM5142</t>
  </si>
  <si>
    <t>IT service desk</t>
  </si>
  <si>
    <t>Atlassian DR</t>
  </si>
  <si>
    <t>APP-022</t>
  </si>
  <si>
    <t>23.10.1-dev</t>
  </si>
  <si>
    <t>Build-PA2310</t>
  </si>
  <si>
    <t>CSPM updates</t>
  </si>
  <si>
    <t>23.9.5</t>
  </si>
  <si>
    <t>Build-PA2395</t>
  </si>
  <si>
    <t>Policy testing</t>
  </si>
  <si>
    <t>23.9.4</t>
  </si>
  <si>
    <t>Build-PA2394</t>
  </si>
  <si>
    <t>SOC review</t>
  </si>
  <si>
    <t>23.9.3</t>
  </si>
  <si>
    <t>Build-PA2393</t>
  </si>
  <si>
    <t>Scan verified</t>
  </si>
  <si>
    <t>23.9.2-GA</t>
  </si>
  <si>
    <t>Build-PA2392</t>
  </si>
  <si>
    <t>Multi-cloud</t>
  </si>
  <si>
    <t>SaaS DR</t>
  </si>
  <si>
    <t>APP-023</t>
  </si>
  <si>
    <t>26B-dev</t>
  </si>
  <si>
    <t>Build-OHCM26B</t>
  </si>
  <si>
    <t>Benefits update</t>
  </si>
  <si>
    <t>26A.5</t>
  </si>
  <si>
    <t>Build-OHCM26A5</t>
  </si>
  <si>
    <t>Payroll cycle</t>
  </si>
  <si>
    <t>26A.4</t>
  </si>
  <si>
    <t>Build-OHCM26A4</t>
  </si>
  <si>
    <t>HR team review</t>
  </si>
  <si>
    <t>26A.3</t>
  </si>
  <si>
    <t>Build-OHCM26A3</t>
  </si>
  <si>
    <t>OCI tested</t>
  </si>
  <si>
    <t>26A.2-GA</t>
  </si>
  <si>
    <t>Build-OHCM26A2</t>
  </si>
  <si>
    <t>Global payroll</t>
  </si>
  <si>
    <t>Oracle DR</t>
  </si>
  <si>
    <t>APP-024</t>
  </si>
  <si>
    <t>14.0.0-dev</t>
  </si>
  <si>
    <t>Build-FT140</t>
  </si>
  <si>
    <t>SCADA update</t>
  </si>
  <si>
    <t>13.5.5</t>
  </si>
  <si>
    <t>Build-FT1355</t>
  </si>
  <si>
    <t>PLC integration</t>
  </si>
  <si>
    <t>13.5.4</t>
  </si>
  <si>
    <t>Build-FT1354</t>
  </si>
  <si>
    <t>Plant floor test</t>
  </si>
  <si>
    <t>13.5.3</t>
  </si>
  <si>
    <t>Build-FT1353</t>
  </si>
  <si>
    <t>OT network OK</t>
  </si>
  <si>
    <t>13.5.2-GA</t>
  </si>
  <si>
    <t>Build-FT1352</t>
  </si>
  <si>
    <t>6 plants live</t>
  </si>
  <si>
    <t>Historian DR</t>
  </si>
  <si>
    <t>APP-025</t>
  </si>
  <si>
    <t>Build-PL263</t>
  </si>
  <si>
    <t>Knowledge base</t>
  </si>
  <si>
    <t>Build-PL2625</t>
  </si>
  <si>
    <t>Search testing</t>
  </si>
  <si>
    <t>Build-PL2624</t>
  </si>
  <si>
    <t>Build-PL2623</t>
  </si>
  <si>
    <t>Content sync</t>
  </si>
  <si>
    <t>Build-PL2622</t>
  </si>
  <si>
    <t>All libraries</t>
  </si>
  <si>
    <t>SaaS replicated</t>
  </si>
  <si>
    <t>APP-026</t>
  </si>
  <si>
    <t>Build-MA2620</t>
  </si>
  <si>
    <t>Labor mgmt</t>
  </si>
  <si>
    <t>Build-MA2615</t>
  </si>
  <si>
    <t>Pick path test</t>
  </si>
  <si>
    <t>Build-MA2614</t>
  </si>
  <si>
    <t>DC team review</t>
  </si>
  <si>
    <t>Build-MA2613</t>
  </si>
  <si>
    <t>Build-MA2612</t>
  </si>
  <si>
    <t>3 warehouses</t>
  </si>
  <si>
    <t>APP-027</t>
  </si>
  <si>
    <t>2026R2.1-dev</t>
  </si>
  <si>
    <t>Build-WF26R2</t>
  </si>
  <si>
    <t>Revenue module</t>
  </si>
  <si>
    <t>Build-WF26R15</t>
  </si>
  <si>
    <t>GL testing</t>
  </si>
  <si>
    <t>Build-WF26R14</t>
  </si>
  <si>
    <t>Controller review</t>
  </si>
  <si>
    <t>Build-WF26R13</t>
  </si>
  <si>
    <t>Close cycle OK</t>
  </si>
  <si>
    <t>Build-WF26R12</t>
  </si>
  <si>
    <t>Core financials</t>
  </si>
  <si>
    <t>APP-028</t>
  </si>
  <si>
    <t>6.3.0-dev</t>
  </si>
  <si>
    <t>Build-SOAR63</t>
  </si>
  <si>
    <t>Playbook update</t>
  </si>
  <si>
    <t>6.2.5</t>
  </si>
  <si>
    <t>Build-SOAR625</t>
  </si>
  <si>
    <t>Automation test</t>
  </si>
  <si>
    <t>6.2.4</t>
  </si>
  <si>
    <t>Build-SOAR624</t>
  </si>
  <si>
    <t>6.2.3</t>
  </si>
  <si>
    <t>Build-SOAR623</t>
  </si>
  <si>
    <t>6.2.2-GA</t>
  </si>
  <si>
    <t>Build-SOAR622</t>
  </si>
  <si>
    <t>Active response</t>
  </si>
  <si>
    <t>SIEM linked</t>
  </si>
  <si>
    <t>APP-029</t>
  </si>
  <si>
    <t>26B.2-dev</t>
  </si>
  <si>
    <t>Build-OMC26B2</t>
  </si>
  <si>
    <t>Quality module</t>
  </si>
  <si>
    <t>26B.1</t>
  </si>
  <si>
    <t>Build-OMC26B1</t>
  </si>
  <si>
    <t>BOM testing</t>
  </si>
  <si>
    <t>Build-OMC26A5</t>
  </si>
  <si>
    <t>Production review</t>
  </si>
  <si>
    <t>Build-OMC26A4</t>
  </si>
  <si>
    <t>26A.3-GA</t>
  </si>
  <si>
    <t>Build-OMC26A3</t>
  </si>
  <si>
    <t>3 facilities</t>
  </si>
  <si>
    <t>Oracle RAC</t>
  </si>
  <si>
    <t>APP-030</t>
  </si>
  <si>
    <t>7.50.0-dev</t>
  </si>
  <si>
    <t>Build-DD750</t>
  </si>
  <si>
    <t>APM update</t>
  </si>
  <si>
    <t>7.49.5</t>
  </si>
  <si>
    <t>Build-DD7495</t>
  </si>
  <si>
    <t>Agent testing</t>
  </si>
  <si>
    <t>7.49.4</t>
  </si>
  <si>
    <t>Build-DD7494</t>
  </si>
  <si>
    <t>7.49.3</t>
  </si>
  <si>
    <t>Build-DD7493</t>
  </si>
  <si>
    <t>7.49.2-GA</t>
  </si>
  <si>
    <t>Build-DD7492</t>
  </si>
  <si>
    <t>Observability</t>
  </si>
  <si>
    <t>Admin ID</t>
  </si>
  <si>
    <t>Title</t>
  </si>
  <si>
    <t>Access Scope</t>
  </si>
  <si>
    <t>Granted Date</t>
  </si>
  <si>
    <t>Granted By</t>
  </si>
  <si>
    <t>Expiry Date</t>
  </si>
  <si>
    <t>SA-001</t>
  </si>
  <si>
    <t>Michael Stevens</t>
  </si>
  <si>
    <t>michael.stevens@company.com</t>
  </si>
  <si>
    <t>Chief Information Officer</t>
  </si>
  <si>
    <t>Global - All Systems</t>
  </si>
  <si>
    <t>CEO Office</t>
  </si>
  <si>
    <t>Executive sponsor for all IT initiatives</t>
  </si>
  <si>
    <t>SA-002</t>
  </si>
  <si>
    <t>jennifer.walsh@company.com</t>
  </si>
  <si>
    <t>VP of Enterprise Applications</t>
  </si>
  <si>
    <t>Oversight of all enterprise systems</t>
  </si>
  <si>
    <t>SA-003</t>
  </si>
  <si>
    <t>Director of IT Operations</t>
  </si>
  <si>
    <t>Global - Infrastructure</t>
  </si>
  <si>
    <t>24/7 operations oversight</t>
  </si>
  <si>
    <t>SA-004</t>
  </si>
  <si>
    <t>elizabeth.morgan@company.com</t>
  </si>
  <si>
    <t>Head of Cybersecurity</t>
  </si>
  <si>
    <t>Security incident response authority</t>
  </si>
  <si>
    <t>SA-005</t>
  </si>
  <si>
    <t>Robert Chen</t>
  </si>
  <si>
    <t>robert.chen@company.com</t>
  </si>
  <si>
    <t>Chief Technology Officer</t>
  </si>
  <si>
    <t>Technical architecture decisions</t>
  </si>
  <si>
    <t>SA-006</t>
  </si>
  <si>
    <t>patricia.wong@company.com</t>
  </si>
  <si>
    <t>Director of Release Management</t>
  </si>
  <si>
    <t>Global - Release Systems</t>
  </si>
  <si>
    <t>Emergency release authority</t>
  </si>
  <si>
    <t>SA-007</t>
  </si>
  <si>
    <t>VP of HR Technology</t>
  </si>
  <si>
    <t>HR Systems - Global</t>
  </si>
  <si>
    <t>HR data governance</t>
  </si>
  <si>
    <t>SA-008</t>
  </si>
  <si>
    <t>VP of Finance Systems</t>
  </si>
  <si>
    <t>Finance Systems - Global</t>
  </si>
  <si>
    <t>Financial data authority</t>
  </si>
  <si>
    <t>SA-009</t>
  </si>
  <si>
    <t>raymond.diaz@company.com</t>
  </si>
  <si>
    <t>Cloud Platform Architect</t>
  </si>
  <si>
    <t>Global - Cloud Infrastructure</t>
  </si>
  <si>
    <t>AWS/Azure/GCP root access</t>
  </si>
  <si>
    <t>SA-010</t>
  </si>
  <si>
    <t>margaret.sullivan@company.com</t>
  </si>
  <si>
    <t>Identity &amp; Access Manager</t>
  </si>
  <si>
    <t>Global - IAM Systems</t>
  </si>
  <si>
    <t>Identity management authority</t>
  </si>
  <si>
    <t>SA-011</t>
  </si>
  <si>
    <t>timothy.foster@company.com</t>
  </si>
  <si>
    <t>Disaster Recovery Manager</t>
  </si>
  <si>
    <t>Global - DR Systems</t>
  </si>
  <si>
    <t>DR failover authority</t>
  </si>
  <si>
    <t>SA-012</t>
  </si>
  <si>
    <t>diane.wilson@company.com</t>
  </si>
  <si>
    <t>Database Administrator Lead</t>
  </si>
  <si>
    <t>Global - Databases</t>
  </si>
  <si>
    <t>DBA root access all environments</t>
  </si>
  <si>
    <t>⚠️ RESTRICTED ACCESS: Super Admin privileges require CIO or CEO approval. Access is audited and reviewed quarterly.</t>
  </si>
  <si>
    <t>Booking ID</t>
  </si>
  <si>
    <t>Prod Release Date</t>
  </si>
  <si>
    <t>Test Env</t>
  </si>
  <si>
    <t>Test Start</t>
  </si>
  <si>
    <t>Test End</t>
  </si>
  <si>
    <t>Test Days</t>
  </si>
  <si>
    <t>UAT Env</t>
  </si>
  <si>
    <t>UAT Start</t>
  </si>
  <si>
    <t>UAT End</t>
  </si>
  <si>
    <t>UAT Days</t>
  </si>
  <si>
    <t>Pre-Prod Env</t>
  </si>
  <si>
    <t>Pre-Prod Start</t>
  </si>
  <si>
    <t>Pre-Prod End</t>
  </si>
  <si>
    <t>Pre-Prod Days</t>
  </si>
  <si>
    <t>ENVIRONMENT BOOKING SUMMARY</t>
  </si>
  <si>
    <t>Testing Phase Durations:</t>
  </si>
  <si>
    <t>Color Legend:</t>
  </si>
  <si>
    <t>Environment Usage Statistics</t>
  </si>
  <si>
    <t>Metric</t>
  </si>
  <si>
    <t>Value</t>
  </si>
  <si>
    <t>Formula</t>
  </si>
  <si>
    <t>Total Releases</t>
  </si>
  <si>
    <t>Releases with Conflicts</t>
  </si>
  <si>
    <t>Large Releases</t>
  </si>
  <si>
    <t>Medium Releases</t>
  </si>
  <si>
    <t>Small Releases</t>
  </si>
  <si>
    <t>Total Test Days Required</t>
  </si>
  <si>
    <t>Test Phase</t>
  </si>
  <si>
    <t>UAT Phase</t>
  </si>
  <si>
    <t>Pre-Prod Phase</t>
  </si>
  <si>
    <t>Conflict</t>
  </si>
  <si>
    <t>CAB Date</t>
  </si>
  <si>
    <t>ENV-0001</t>
  </si>
  <si>
    <t>FIN-PREPROD-01</t>
  </si>
  <si>
    <t>ENV-0002</t>
  </si>
  <si>
    <t>LOG-PREPROD-01</t>
  </si>
  <si>
    <t>ENV-0003</t>
  </si>
  <si>
    <t>CRM-PREPROD-01</t>
  </si>
  <si>
    <t>ENV-0004</t>
  </si>
  <si>
    <t>MFG-PREPROD-01</t>
  </si>
  <si>
    <t>ENV-0005</t>
  </si>
  <si>
    <t>IT-PREPROD-01</t>
  </si>
  <si>
    <t>ENV-0006</t>
  </si>
  <si>
    <t>HR-PREPROD-01</t>
  </si>
  <si>
    <t>ENV-0007</t>
  </si>
  <si>
    <t>LEG-PREPROD-01</t>
  </si>
  <si>
    <t>ENV-0008</t>
  </si>
  <si>
    <t>SEC-PREPROD-01</t>
  </si>
  <si>
    <t>ENV-0009</t>
  </si>
  <si>
    <t>ENV-0010</t>
  </si>
  <si>
    <t>ENV-0011</t>
  </si>
  <si>
    <t>ENV-0012</t>
  </si>
  <si>
    <t>ENV-0013</t>
  </si>
  <si>
    <t>ENV-0014</t>
  </si>
  <si>
    <t>ENV-0015</t>
  </si>
  <si>
    <t>ENV-0016</t>
  </si>
  <si>
    <t>ENV-0017</t>
  </si>
  <si>
    <t>ENV-0018</t>
  </si>
  <si>
    <t>ENV-0019</t>
  </si>
  <si>
    <t>ENV-0020</t>
  </si>
  <si>
    <t>ENV-0021</t>
  </si>
  <si>
    <t>ENV-0022</t>
  </si>
  <si>
    <t>ENV-0023</t>
  </si>
  <si>
    <t>ENV-0024</t>
  </si>
  <si>
    <t>ENV-0025</t>
  </si>
  <si>
    <t>ENV-0026</t>
  </si>
  <si>
    <t>ENV-0027</t>
  </si>
  <si>
    <t>ENV-0028</t>
  </si>
  <si>
    <t>ENV-0029</t>
  </si>
  <si>
    <t>ENV-0030</t>
  </si>
  <si>
    <t>ENV-0031</t>
  </si>
  <si>
    <t>ENV-0032</t>
  </si>
  <si>
    <t>ENV-0033</t>
  </si>
  <si>
    <t>ENV-0034</t>
  </si>
  <si>
    <t>ENV-0035</t>
  </si>
  <si>
    <t>ENV-0036</t>
  </si>
  <si>
    <t>ENV-0037</t>
  </si>
  <si>
    <t>ENV-0038</t>
  </si>
  <si>
    <t>ENV-0039</t>
  </si>
  <si>
    <t>ENV-0040</t>
  </si>
  <si>
    <t>ENV-0041</t>
  </si>
  <si>
    <t>ENV-0042</t>
  </si>
  <si>
    <t>ENV-0043</t>
  </si>
  <si>
    <t>ENV-0044</t>
  </si>
  <si>
    <t>ENV-0045</t>
  </si>
  <si>
    <t>ENV-0046</t>
  </si>
  <si>
    <t>ENV-0047</t>
  </si>
  <si>
    <t>ENV-0048</t>
  </si>
  <si>
    <t>ENV-0049</t>
  </si>
  <si>
    <t>ENV-0050</t>
  </si>
  <si>
    <t>ENV-0051</t>
  </si>
  <si>
    <t>ENV-0052</t>
  </si>
  <si>
    <t>ENV-0053</t>
  </si>
  <si>
    <t>ENV-0054</t>
  </si>
  <si>
    <t>ENV-0055</t>
  </si>
  <si>
    <t>ENV-0056</t>
  </si>
  <si>
    <t>ENV-0057</t>
  </si>
  <si>
    <t>ENV-0058</t>
  </si>
  <si>
    <t>ENV-0059</t>
  </si>
  <si>
    <t>ENV-0060</t>
  </si>
  <si>
    <t>ENV-0061</t>
  </si>
  <si>
    <t>ENV-0062</t>
  </si>
  <si>
    <t>ENV-0063</t>
  </si>
  <si>
    <t>ENV-0064</t>
  </si>
  <si>
    <t>ENV-0065</t>
  </si>
  <si>
    <t>ENV-0066</t>
  </si>
  <si>
    <t>ENV-0067</t>
  </si>
  <si>
    <t>ENV-0068</t>
  </si>
  <si>
    <t>ENV-0069</t>
  </si>
  <si>
    <t>ENV-0070</t>
  </si>
  <si>
    <t>ENV-0071</t>
  </si>
  <si>
    <t>ENV-0072</t>
  </si>
  <si>
    <t>ENV-0073</t>
  </si>
  <si>
    <t>ENV-0074</t>
  </si>
  <si>
    <t>ENV-0075</t>
  </si>
  <si>
    <t>ENV-0076</t>
  </si>
  <si>
    <t>ENV-0077</t>
  </si>
  <si>
    <t>ENV-0078</t>
  </si>
  <si>
    <t>ENV-0079</t>
  </si>
  <si>
    <t>ENV-0080</t>
  </si>
  <si>
    <t>• Large Releases: Test (10 days) → UAT (5 days) → Pre-Prod (4 days) → CAB (-3 days) → Prod (+2 days max)</t>
  </si>
  <si>
    <t>• Medium Releases: Test (5 days) → UAT (3 days) → Pre-Prod (2 days) → CAB (-2 days) → Prod (+1 day)</t>
  </si>
  <si>
    <t>• Small Releases: Test (3 days) → UAT (2 days) → Pre-Prod (1 day) → CAB (-2 days) → Prod (same day)</t>
  </si>
  <si>
    <t>Blue = Test Phase | Green = UAT Phase | Orange = Pre-Prod Phase | Purple = CAB Date | Peach = Prod Date | Red = Conflict</t>
  </si>
  <si>
    <t>CAB Meetings Required</t>
  </si>
  <si>
    <t>Readiness %</t>
  </si>
  <si>
    <t>Blockers</t>
  </si>
  <si>
    <t>Environment conflict with REL-0003; awaiting conflict resolution meeting</t>
  </si>
  <si>
    <t>Shared UAT env with REL-0001; QA sign-off pending</t>
  </si>
  <si>
    <t>Security review in progress; awaiting CISO approval</t>
  </si>
  <si>
    <t>Integration testing delayed; 3rd party API dependency unresolved</t>
  </si>
  <si>
    <t>UAT defects being triaged; 2 P2 bugs outstanding</t>
  </si>
  <si>
    <t>Performance testing incomplete; DB migration script needs optimization</t>
  </si>
  <si>
    <t>Test data refresh pending; blocked on DBA availability</t>
  </si>
  <si>
    <t>Global rollout coordination pending; APAC team capacity constrained</t>
  </si>
  <si>
    <t>Architecture review required; security scan findings need remediation</t>
  </si>
  <si>
    <t>Requirements still being finalized with business stakeholders</t>
  </si>
  <si>
    <t>Sheet Name</t>
  </si>
  <si>
    <t>Description</t>
  </si>
  <si>
    <t>Applications</t>
  </si>
  <si>
    <t>Releases</t>
  </si>
  <si>
    <t>Env booking</t>
  </si>
  <si>
    <t>System Mapping</t>
  </si>
  <si>
    <t>Admin (Release Managers)</t>
  </si>
  <si>
    <t>Users</t>
  </si>
  <si>
    <t>Versions</t>
  </si>
  <si>
    <t>Super Admins</t>
  </si>
  <si>
    <t>3 days</t>
  </si>
  <si>
    <t>2 days</t>
  </si>
  <si>
    <t>1 day</t>
  </si>
  <si>
    <t>5 days</t>
  </si>
  <si>
    <t>10 days</t>
  </si>
  <si>
    <t>4 days</t>
  </si>
  <si>
    <t>Vendor Maintenance</t>
  </si>
  <si>
    <t>Change Freeze</t>
  </si>
  <si>
    <t>Regulatory</t>
  </si>
  <si>
    <t>Oracle Patch Window</t>
  </si>
  <si>
    <t>Quarter-End Freeze</t>
  </si>
  <si>
    <t>Year-End Freeze</t>
  </si>
  <si>
    <t>SOC2 Requirement</t>
  </si>
  <si>
    <t>SOX Compliance</t>
  </si>
  <si>
    <t>GDPR Compliance</t>
  </si>
  <si>
    <t>Leave ID</t>
  </si>
  <si>
    <t>User Name</t>
  </si>
  <si>
    <t>Leave Start</t>
  </si>
  <si>
    <t>Leave End</t>
  </si>
  <si>
    <t>Leave Type</t>
  </si>
  <si>
    <t>Days</t>
  </si>
  <si>
    <t>Affected Release</t>
  </si>
  <si>
    <t>Risk Impact</t>
  </si>
  <si>
    <t>LV-001</t>
  </si>
  <si>
    <t>Annual Leave</t>
  </si>
  <si>
    <t>REL-0001, REL-0002</t>
  </si>
  <si>
    <t>High - QA Lead unavailable</t>
  </si>
  <si>
    <t>LV-002</t>
  </si>
  <si>
    <t>Emma Roberts</t>
  </si>
  <si>
    <t>Personal Leave</t>
  </si>
  <si>
    <t>Medium - SME unavailable</t>
  </si>
  <si>
    <t>LV-003</t>
  </si>
  <si>
    <t>Jack Wilson</t>
  </si>
  <si>
    <t>Sick Leave</t>
  </si>
  <si>
    <t>High - Primary owner on leave</t>
  </si>
  <si>
    <t>LV-004</t>
  </si>
  <si>
    <t>REL-0004, REL-0005</t>
  </si>
  <si>
    <t>Critical - Dev Manager unavailable</t>
  </si>
  <si>
    <t>LV-005</t>
  </si>
  <si>
    <t>Oliver Wright</t>
  </si>
  <si>
    <t>REL-0009, REL-0010</t>
  </si>
  <si>
    <t>Medium - Extended absence</t>
  </si>
  <si>
    <t>LV-006</t>
  </si>
  <si>
    <t>High - Testing lead absent</t>
  </si>
  <si>
    <t>LV-007</t>
  </si>
  <si>
    <t>Ava Brown</t>
  </si>
  <si>
    <t>Medium - Security reviewer absent</t>
  </si>
  <si>
    <t>LV-008</t>
  </si>
  <si>
    <t>Ethan Clark</t>
  </si>
  <si>
    <t>REL-0016, REL-0017</t>
  </si>
  <si>
    <t>High - Legal compliance reviewer absent</t>
  </si>
  <si>
    <t>LV-009</t>
  </si>
  <si>
    <t>Conference</t>
  </si>
  <si>
    <t>Medium - Manager at conference</t>
  </si>
  <si>
    <t>LV-010</t>
  </si>
  <si>
    <t>Mia Thompson</t>
  </si>
  <si>
    <t>Low - Backup available</t>
  </si>
  <si>
    <t>LV-011</t>
  </si>
  <si>
    <t>REL-0024, REL-0025</t>
  </si>
  <si>
    <t>Critical - No QA coverage</t>
  </si>
  <si>
    <t>LV-012</t>
  </si>
  <si>
    <t>High - Key resource unavailable</t>
  </si>
  <si>
    <t>LV-013</t>
  </si>
  <si>
    <t>Liam Jackson</t>
  </si>
  <si>
    <t>REL-0031, REL-0032</t>
  </si>
  <si>
    <t>Medium - Finance SME absent</t>
  </si>
  <si>
    <t>LV-014</t>
  </si>
  <si>
    <t>Sophia Lee</t>
  </si>
  <si>
    <t>Low - Short-term absence</t>
  </si>
  <si>
    <t>LV-015</t>
  </si>
  <si>
    <t>Noah Martin</t>
  </si>
  <si>
    <t>REL-0038, REL-0039</t>
  </si>
  <si>
    <t>High - Year-end absence</t>
  </si>
  <si>
    <t>LV-016</t>
  </si>
  <si>
    <t>REL-0040 to REL-0044</t>
  </si>
  <si>
    <t>Critical - Extended holiday leave</t>
  </si>
  <si>
    <t>LV-017</t>
  </si>
  <si>
    <t>Tracy Adams</t>
  </si>
  <si>
    <t>REL-0043, REL-0044</t>
  </si>
  <si>
    <t>Critical - No QA during freeze</t>
  </si>
  <si>
    <t>LV-018</t>
  </si>
  <si>
    <t>Isabella White</t>
  </si>
  <si>
    <t>High - Security gap</t>
  </si>
  <si>
    <t>LV-019</t>
  </si>
  <si>
    <t>Lucas Harris</t>
  </si>
  <si>
    <t>REL-0048, REL-0049</t>
  </si>
  <si>
    <t>Medium - Legal at conference</t>
  </si>
  <si>
    <t>LV-020</t>
  </si>
  <si>
    <t>Low - Short absence</t>
  </si>
  <si>
    <t>LV-021</t>
  </si>
  <si>
    <t>Charlotte King</t>
  </si>
  <si>
    <t>REL-0055, REL-0056</t>
  </si>
  <si>
    <t>High - Quarter-end absence</t>
  </si>
  <si>
    <t>LV-022</t>
  </si>
  <si>
    <t>Medium - Unexpected sick leave</t>
  </si>
  <si>
    <t>LV-023</t>
  </si>
  <si>
    <t>Jordan Fisher</t>
  </si>
  <si>
    <t>REL-0062, REL-0063</t>
  </si>
  <si>
    <t>Critical - Key tester absent</t>
  </si>
  <si>
    <t>LV-024</t>
  </si>
  <si>
    <t>Amelia Garcia</t>
  </si>
  <si>
    <t>Low - Coverage available</t>
  </si>
  <si>
    <t>LV-025</t>
  </si>
  <si>
    <t>William Moore</t>
  </si>
  <si>
    <t>REL-0067, REL-0068</t>
  </si>
  <si>
    <t>High - Extended leave</t>
  </si>
  <si>
    <t>LV-026</t>
  </si>
  <si>
    <t>Medium - Tech conference</t>
  </si>
  <si>
    <t>LV-027</t>
  </si>
  <si>
    <t>Harper Robinson</t>
  </si>
  <si>
    <t>REL-0073, REL-0074</t>
  </si>
  <si>
    <t>High - Security lead absent</t>
  </si>
  <si>
    <t>LV-028</t>
  </si>
  <si>
    <t>James Lewis</t>
  </si>
  <si>
    <t>Medium - Legal review delayed</t>
  </si>
  <si>
    <t>LV-029</t>
  </si>
  <si>
    <t>Evelyn Walker</t>
  </si>
  <si>
    <t>Low - Backup SME available</t>
  </si>
  <si>
    <t>LV-030</t>
  </si>
  <si>
    <t>Alexander Hall</t>
  </si>
  <si>
    <t>Medium - Training delayed</t>
  </si>
  <si>
    <t>RELEASE CALENDAR - FY2026-2027</t>
  </si>
  <si>
    <t>■ Change Freeze</t>
  </si>
  <si>
    <t>Deployment restrictions in effect</t>
  </si>
  <si>
    <t>■ Large Release</t>
  </si>
  <si>
    <t>High impact, extended testing</t>
  </si>
  <si>
    <t>■ Medium Release</t>
  </si>
  <si>
    <t>Standard release cycle</t>
  </si>
  <si>
    <t>■ Small Release</t>
  </si>
  <si>
    <t>Quick deployment</t>
  </si>
  <si>
    <t>■ Regulatory</t>
  </si>
  <si>
    <t>Compliance-driven release</t>
  </si>
  <si>
    <t>■ Vendor Maint.</t>
  </si>
  <si>
    <t>Vendor maintenance window</t>
  </si>
  <si>
    <t>Month</t>
  </si>
  <si>
    <t>Week</t>
  </si>
  <si>
    <t>Date</t>
  </si>
  <si>
    <t>Day</t>
  </si>
  <si>
    <t>Event Type</t>
  </si>
  <si>
    <t>Size/Impact</t>
  </si>
  <si>
    <t>Sun</t>
  </si>
  <si>
    <t>CAB MEETING</t>
  </si>
  <si>
    <t>CAB: Kyriba UI Tweak v4.5...</t>
  </si>
  <si>
    <t>Approval meeting for REL-0001</t>
  </si>
  <si>
    <t>Tue</t>
  </si>
  <si>
    <t>RELEASE</t>
  </si>
  <si>
    <t>Small / Low</t>
  </si>
  <si>
    <t>Impact: Low - Quarter-End Freeze AFFECTED</t>
  </si>
  <si>
    <t>CAB: Zendesk Minor Update v4.3...</t>
  </si>
  <si>
    <t>Approval meeting for REL-0003</t>
  </si>
  <si>
    <t>Thu</t>
  </si>
  <si>
    <t>CAB: Blue Workflow Automation v2.1...</t>
  </si>
  <si>
    <t>Approval meeting for REL-0002</t>
  </si>
  <si>
    <t>Impact: Low</t>
  </si>
  <si>
    <t>CAB: Mitratech Integration Enhancem...</t>
  </si>
  <si>
    <t>Approval meeting for REL-0007</t>
  </si>
  <si>
    <t>Sat</t>
  </si>
  <si>
    <t>Medium / High</t>
  </si>
  <si>
    <t>Impact: High</t>
  </si>
  <si>
    <t>CAB: Plex Report Fix v2.5...</t>
  </si>
  <si>
    <t>Approval meeting for REL-0012</t>
  </si>
  <si>
    <t>Mon</t>
  </si>
  <si>
    <t>Small / Medium</t>
  </si>
  <si>
    <t>Impact: Medium</t>
  </si>
  <si>
    <t>Fri</t>
  </si>
  <si>
    <t>CAB: AVEVA Dashboard Upgrade v5.5...</t>
  </si>
  <si>
    <t>Approval meeting for REL-0004</t>
  </si>
  <si>
    <t>CAB: Datadog Security Patch Bundle ...</t>
  </si>
  <si>
    <t>Approval meeting for REL-0005</t>
  </si>
  <si>
    <t>Wed</t>
  </si>
  <si>
    <t>CAB: Manhattan Major Enhancement v5...</t>
  </si>
  <si>
    <t>Approval meeting for REL-0010</t>
  </si>
  <si>
    <t>CAB: SAP Configuration Change v5.2...</t>
  </si>
  <si>
    <t>Approval meeting for REL-0006</t>
  </si>
  <si>
    <t>Large / Medium</t>
  </si>
  <si>
    <t>CAB: CrowdStrike Minor Update v3.6...</t>
  </si>
  <si>
    <t>Approval meeting for REL-0008</t>
  </si>
  <si>
    <t>CAB: Oracle Report Fix v3.4...</t>
  </si>
  <si>
    <t>Approval meeting for REL-0009</t>
  </si>
  <si>
    <t>CAB: HubSpot Minor Update v3.7...</t>
  </si>
  <si>
    <t>Approval meeting for REL-0011</t>
  </si>
  <si>
    <t>CAB: Oracle Global Rollout v2.2...</t>
  </si>
  <si>
    <t>Approval meeting for REL-0014</t>
  </si>
  <si>
    <t>Large / High</t>
  </si>
  <si>
    <t>CAB: Dynatrace UI Tweak v3.1...</t>
  </si>
  <si>
    <t>Approval meeting for REL-0013</t>
  </si>
  <si>
    <t>CAB: DocuSign Core Transformation v...</t>
  </si>
  <si>
    <t>Approval meeting for REL-0015</t>
  </si>
  <si>
    <t>CAB: HighRadius Report Fix v2.4...</t>
  </si>
  <si>
    <t>Approval meeting for REL-0017</t>
  </si>
  <si>
    <t>CAB: Oracle Dashboard Upgrade v2.5...</t>
  </si>
  <si>
    <t>Approval meeting for REL-0022</t>
  </si>
  <si>
    <t>Medium / Low</t>
  </si>
  <si>
    <t>CAB: CyberArk Enterprise Integratio...</t>
  </si>
  <si>
    <t>Approval meeting for REL-0016</t>
  </si>
  <si>
    <t>REGULATORY</t>
  </si>
  <si>
    <t>CAB: Oracle UI Tweak v2.0...</t>
  </si>
  <si>
    <t>Approval meeting for REL-0018</t>
  </si>
  <si>
    <t>CAB: Salesforce Minor Update v2.5...</t>
  </si>
  <si>
    <t>Approval meeting for REL-0019</t>
  </si>
  <si>
    <t>CAB: Splunk Bug Fix Release v3.7...</t>
  </si>
  <si>
    <t>Approval meeting for REL-0021</t>
  </si>
  <si>
    <t>CAB: Rockwell Quick Enhancement v1....</t>
  </si>
  <si>
    <t>Approval meeting for REL-0020</t>
  </si>
  <si>
    <t>CAB: Kinaxis Dashboard Upgrade v3.2...</t>
  </si>
  <si>
    <t>Approval meeting for REL-0026</t>
  </si>
  <si>
    <t>CAB: DocuSign Feature Release v3.0...</t>
  </si>
  <si>
    <t>Approval meeting for REL-0023</t>
  </si>
  <si>
    <t>CAB: Salesforce Hotfix v4.3...</t>
  </si>
  <si>
    <t>Approval meeting for REL-0027</t>
  </si>
  <si>
    <t>CAB: Okta Minor Update v4.1...</t>
  </si>
  <si>
    <t>Approval meeting for REL-0024</t>
  </si>
  <si>
    <t>CAB: Coupa Dashboard Upgrade v5.8...</t>
  </si>
  <si>
    <t>Approval meeting for REL-0025</t>
  </si>
  <si>
    <t>Medium / Medium</t>
  </si>
  <si>
    <t>CAB: SAP Architecture Overhaul v5.5...</t>
  </si>
  <si>
    <t>Approval meeting for REL-0028</t>
  </si>
  <si>
    <t>CAB: Datadog Feature Release v2.2...</t>
  </si>
  <si>
    <t>Approval meeting for REL-0029</t>
  </si>
  <si>
    <t>CAB: Cornerstone Feature Release v1...</t>
  </si>
  <si>
    <t>Approval meeting for REL-0030</t>
  </si>
  <si>
    <t>CAB: Mitratech Data Patch v2.9...</t>
  </si>
  <si>
    <t>Approval meeting for REL-0031</t>
  </si>
  <si>
    <t>CAB: CrowdStrike UI Tweak v1.5...</t>
  </si>
  <si>
    <t>Approval meeting for REL-0032</t>
  </si>
  <si>
    <t>CAB: Oracle Major Enhancement v5.3...</t>
  </si>
  <si>
    <t>Approval meeting for REL-0033</t>
  </si>
  <si>
    <t>CAB: Manhattan Module Update v2.8...</t>
  </si>
  <si>
    <t>Approval meeting for REL-0034</t>
  </si>
  <si>
    <t>CAB: Salesforce Report Fix v5.8...</t>
  </si>
  <si>
    <t>Approval meeting for REL-0035</t>
  </si>
  <si>
    <t>CAB: Plex UI Tweak v3.6...</t>
  </si>
  <si>
    <t>Approval meeting for REL-0036</t>
  </si>
  <si>
    <t>CAB: Dynatrace Platform Upgrade v4....</t>
  </si>
  <si>
    <t>Approval meeting for REL-0037</t>
  </si>
  <si>
    <t>CAB: SAP Bug Fix Release v5.5...</t>
  </si>
  <si>
    <t>Approval meeting for REL-0038</t>
  </si>
  <si>
    <t>CAB: Agiloft Core Transformation v4...</t>
  </si>
  <si>
    <t>Approval meeting for REL-0039</t>
  </si>
  <si>
    <t>CHANGE FREEZE</t>
  </si>
  <si>
    <t>-</t>
  </si>
  <si>
    <t>Year-End Change Freeze START</t>
  </si>
  <si>
    <t>ALL</t>
  </si>
  <si>
    <t>Critical</t>
  </si>
  <si>
    <t>No deployments allowed</t>
  </si>
  <si>
    <t>CAB: Palo Quick Enhancement v3.7...</t>
  </si>
  <si>
    <t>Approval meeting for REL-0040</t>
  </si>
  <si>
    <t>CAB: Anaplan Bug Fix Release v3.3...</t>
  </si>
  <si>
    <t>Approval meeting for REL-0041</t>
  </si>
  <si>
    <t>Impact: Low - Year-End Freeze AFFECTED</t>
  </si>
  <si>
    <t>CAB: Microsoft Integration Enhancem...</t>
  </si>
  <si>
    <t>Approval meeting for REL-0043</t>
  </si>
  <si>
    <t>CAB: Oracle Security Patch Bundle v...</t>
  </si>
  <si>
    <t>Approval meeting for REL-0042</t>
  </si>
  <si>
    <t>Impact: Medium - Year-End Freeze AFFECTED</t>
  </si>
  <si>
    <t>VENDOR MAINT</t>
  </si>
  <si>
    <t>Year-End Change Freeze END</t>
  </si>
  <si>
    <t>CAB: Siemens Integration Enhancemen...</t>
  </si>
  <si>
    <t>Approval meeting for REL-0044</t>
  </si>
  <si>
    <t>Impact: High - Year-End Freeze AFFECTED</t>
  </si>
  <si>
    <t>CAB: Splunk Global Rollout v3.0...</t>
  </si>
  <si>
    <t>Approval meeting for REL-0045</t>
  </si>
  <si>
    <t>CAB: SAP UI Tweak v5.2...</t>
  </si>
  <si>
    <t>Approval meeting for REL-0046</t>
  </si>
  <si>
    <t>CAB: DocuSign Integration Enhanceme...</t>
  </si>
  <si>
    <t>Approval meeting for REL-0047</t>
  </si>
  <si>
    <t>CAB: Okta Report Fix v4.1...</t>
  </si>
  <si>
    <t>Approval meeting for REL-0048</t>
  </si>
  <si>
    <t>CAB: Anaplan Minor Update v3.3...</t>
  </si>
  <si>
    <t>Approval meeting for REL-0049</t>
  </si>
  <si>
    <t>CAB: Blue Configuration Change v5.9...</t>
  </si>
  <si>
    <t>Approval meeting for REL-0050</t>
  </si>
  <si>
    <t>CAB: HubSpot Module Update v4.7...</t>
  </si>
  <si>
    <t>Approval meeting for REL-0051</t>
  </si>
  <si>
    <t>CAB: SAP Configuration Change v1.3...</t>
  </si>
  <si>
    <t>Approval meeting for REL-0052</t>
  </si>
  <si>
    <t>CAB: Splunk Global Rollout v5.8...</t>
  </si>
  <si>
    <t>Approval meeting for REL-0053</t>
  </si>
  <si>
    <t>CAB: Workday Core Transformation v2...</t>
  </si>
  <si>
    <t>Approval meeting for REL-0054</t>
  </si>
  <si>
    <t>CAB: DocuSign Major Enhancement v5....</t>
  </si>
  <si>
    <t>Approval meeting for REL-0055</t>
  </si>
  <si>
    <t>CAB: Okta Performance Optimization ...</t>
  </si>
  <si>
    <t>Approval meeting for REL-0056</t>
  </si>
  <si>
    <t>CAB: Manhattan API Enhancement v2.0...</t>
  </si>
  <si>
    <t>Approval meeting for REL-0058</t>
  </si>
  <si>
    <t>CAB: Coupa Security Patch Bundle v3...</t>
  </si>
  <si>
    <t>Approval meeting for REL-0057</t>
  </si>
  <si>
    <t>CAB: Salesforce Workflow Automation...</t>
  </si>
  <si>
    <t>Approval meeting for REL-0059</t>
  </si>
  <si>
    <t>CAB: Plex UI Tweak v4.0...</t>
  </si>
  <si>
    <t>Approval meeting for REL-0060</t>
  </si>
  <si>
    <t>CAB: Datadog API Enhancement v5.6...</t>
  </si>
  <si>
    <t>Approval meeting for REL-0061</t>
  </si>
  <si>
    <t>CAB: SAP Report Fix v2.8...</t>
  </si>
  <si>
    <t>Approval meeting for REL-0062</t>
  </si>
  <si>
    <t>CAB: Mitratech Workflow Automation ...</t>
  </si>
  <si>
    <t>Approval meeting for REL-0063</t>
  </si>
  <si>
    <t>Q1 Quarter-End Freeze START</t>
  </si>
  <si>
    <t>Q1 Quarter-End Freeze END</t>
  </si>
  <si>
    <t>Approval meeting for REL-0064</t>
  </si>
  <si>
    <t>CAB: Oracle System Migration v1.9...</t>
  </si>
  <si>
    <t>Approval meeting for REL-0065</t>
  </si>
  <si>
    <t>CAB: Oracle Module Update v5.6...</t>
  </si>
  <si>
    <t>Approval meeting for REL-0066</t>
  </si>
  <si>
    <t>CAB: Salesforce Complete Redesign v...</t>
  </si>
  <si>
    <t>Approval meeting for REL-0067</t>
  </si>
  <si>
    <t>CAB: Rockwell Minor Update v1.1...</t>
  </si>
  <si>
    <t>Approval meeting for REL-0068</t>
  </si>
  <si>
    <t>CAB: BMC UI Tweak v5.1...</t>
  </si>
  <si>
    <t>Approval meeting for REL-0069</t>
  </si>
  <si>
    <t>CAB: Oracle Workflow Automation v3....</t>
  </si>
  <si>
    <t>Approval meeting for REL-0070</t>
  </si>
  <si>
    <t>CAB: Agiloft Minor Update v4.1...</t>
  </si>
  <si>
    <t>Approval meeting for REL-0071</t>
  </si>
  <si>
    <t>CAB: Kyriba Security Patch Bundle v...</t>
  </si>
  <si>
    <t>Approval meeting for REL-0073</t>
  </si>
  <si>
    <t>CAB: Palo Hotfix v5.8...</t>
  </si>
  <si>
    <t>Approval meeting for REL-0072</t>
  </si>
  <si>
    <t>CAB: Oracle Hotfix v4.3...</t>
  </si>
  <si>
    <t>Approval meeting for REL-0074</t>
  </si>
  <si>
    <t>CAB: HubSpot Performance Optimizati...</t>
  </si>
  <si>
    <t>Approval meeting for REL-0075</t>
  </si>
  <si>
    <t>CAB: SAP Hotfix v4.1...</t>
  </si>
  <si>
    <t>Approval meeting for REL-0076</t>
  </si>
  <si>
    <t>CAB: Jira Core Transformation v1.8...</t>
  </si>
  <si>
    <t>Approval meeting for REL-0077</t>
  </si>
  <si>
    <t>CAB: ADP Workflow Automation v2.7...</t>
  </si>
  <si>
    <t>Approval meeting for REL-0078</t>
  </si>
  <si>
    <t>CAB: Ironclad Module Update v4.7...</t>
  </si>
  <si>
    <t>Approval meeting for REL-0079</t>
  </si>
  <si>
    <t>CAB: CrowdStrike Performance Optimi...</t>
  </si>
  <si>
    <t>Approval meeting for REL-0080</t>
  </si>
  <si>
    <t>Q2 Quarter-End Freeze START</t>
  </si>
  <si>
    <t>Q2 Quarter-End Freeze END</t>
  </si>
  <si>
    <t>CHANGE FREEZE PERIODS</t>
  </si>
  <si>
    <t>Freeze Period</t>
  </si>
  <si>
    <t>Duration (Days)</t>
  </si>
  <si>
    <t>Year-End Freeze 2026</t>
  </si>
  <si>
    <t>No production deployments. Emergency hotfixes only.</t>
  </si>
  <si>
    <t>Q1 Quarter-End Freeze</t>
  </si>
  <si>
    <t>Finance close period. Limited deployments.</t>
  </si>
  <si>
    <t>Q2 Quarter-End Freeze</t>
  </si>
  <si>
    <t>Purpose</t>
  </si>
  <si>
    <t>Leave Calendar</t>
  </si>
  <si>
    <t>Calendar</t>
  </si>
  <si>
    <t>Column</t>
  </si>
  <si>
    <t>Dec 15, 2026 - Jan 5, 2027</t>
  </si>
  <si>
    <t>Mar 29-31, 2027</t>
  </si>
  <si>
    <t>Jun 28-30, 2027</t>
  </si>
  <si>
    <t>ENVIRONMENT &amp; APPLICATION DRIFT TRACKER</t>
  </si>
  <si>
    <t>Drift issues discovered during release testing phases</t>
  </si>
  <si>
    <t>Drift ID</t>
  </si>
  <si>
    <t>Drift Type</t>
  </si>
  <si>
    <t>Drift Category</t>
  </si>
  <si>
    <t>Detected Date</t>
  </si>
  <si>
    <t>Severity</t>
  </si>
  <si>
    <t>Impact on Release</t>
  </si>
  <si>
    <t>Remediation Action</t>
  </si>
  <si>
    <t>ETA to Fix</t>
  </si>
  <si>
    <t>DFT-001</t>
  </si>
  <si>
    <t>Database Version</t>
  </si>
  <si>
    <t>UAT running Oracle 18c while Prod is on Oracle 19c. New dashboard queries use 19c-specific JSON functions.</t>
  </si>
  <si>
    <t>Dashboard queries will fail in Prod if not addressed. Blocker for UAT sign-off.</t>
  </si>
  <si>
    <t>Upgrade UAT Oracle instance to 19c or modify queries for backward compatibility</t>
  </si>
  <si>
    <t>In Progress</t>
  </si>
  <si>
    <t>DFT-002</t>
  </si>
  <si>
    <t>Configuration</t>
  </si>
  <si>
    <t>API Timeout Settings</t>
  </si>
  <si>
    <t>API timeout set to 60s in Pre-prod vs 30s in Prod. Performance testing results may not reflect Prod behavior.</t>
  </si>
  <si>
    <t>Performance test results unreliable. May pass in Pre-prod but timeout in Prod.</t>
  </si>
  <si>
    <t>Update Pre-prod timeout configuration to match Prod (30s)</t>
  </si>
  <si>
    <t>Open</t>
  </si>
  <si>
    <t>DFT-003</t>
  </si>
  <si>
    <t>Data</t>
  </si>
  <si>
    <t>Test Data Stale</t>
  </si>
  <si>
    <t>Test environment data last refreshed 45 days ago. Missing recent product SKUs added in last month.</t>
  </si>
  <si>
    <t>Some dashboard filters may not be fully tested with current product catalog.</t>
  </si>
  <si>
    <t>Refresh Test environment data from Prod snapshot</t>
  </si>
  <si>
    <t>DFT-004</t>
  </si>
  <si>
    <t>Memory Allocation</t>
  </si>
  <si>
    <t>Pre-prod has 16GB RAM vs Prod's 32GB. New batch processing module requires 24GB minimum for peak loads.</t>
  </si>
  <si>
    <t>Batch processing will fail under load in testing. Cannot validate Prod readiness.</t>
  </si>
  <si>
    <t>Request infrastructure team to increase Pre-prod RAM to 32GB</t>
  </si>
  <si>
    <t>Escalated</t>
  </si>
  <si>
    <t>DFT-005</t>
  </si>
  <si>
    <t>Feature Flags</t>
  </si>
  <si>
    <t>3 feature flags enabled in Prod not replicated to UAT: ASYNC_PICKING, WAVE_OPTIMIZATION, RF_GUN_V2.</t>
  </si>
  <si>
    <t>UAT testing not representative of Prod. Business users testing outdated functionality.</t>
  </si>
  <si>
    <t>Sync feature flag configuration from Prod to UAT</t>
  </si>
  <si>
    <t>DFT-006</t>
  </si>
  <si>
    <t>Third-party Endpoint</t>
  </si>
  <si>
    <t>UAT pointing to carrier API sandbox (v2.1) while Prod uses production API (v2.3). Response formats differ.</t>
  </si>
  <si>
    <t>Shipping label generation tests may pass but fail in Prod due to API version mismatch.</t>
  </si>
  <si>
    <t>Update UAT carrier API endpoint to use v2.3 sandbox mirror</t>
  </si>
  <si>
    <t>DFT-007</t>
  </si>
  <si>
    <t>SSL Certificate</t>
  </si>
  <si>
    <t>Test environment SSL certificate expired 5 days ago. Currently bypassed with security exception.</t>
  </si>
  <si>
    <t>Security scans will fail. Cannot complete security sign-off for release.</t>
  </si>
  <si>
    <t>Renew SSL certificate for Test environment</t>
  </si>
  <si>
    <t>RELEASE RISK REGISTER</t>
  </si>
  <si>
    <t>Comprehensive risk assessment for releases in the next 45 days (Jun 25 - Aug 9, 2026)</t>
  </si>
  <si>
    <t>Risk ID</t>
  </si>
  <si>
    <t>Prod Date</t>
  </si>
  <si>
    <t>Days Out</t>
  </si>
  <si>
    <t>Risk Category</t>
  </si>
  <si>
    <t>Risk Description</t>
  </si>
  <si>
    <t>Likelihood</t>
  </si>
  <si>
    <t>Risk Score</t>
  </si>
  <si>
    <t>Affected Area</t>
  </si>
  <si>
    <t>Mitigation Strategy</t>
  </si>
  <si>
    <t>Risk Owner</t>
  </si>
  <si>
    <t>RSK-001</t>
  </si>
  <si>
    <t>Resource</t>
  </si>
  <si>
    <t>QA Lead (Sam Anderson) on leave during release window</t>
  </si>
  <si>
    <t>Testing</t>
  </si>
  <si>
    <t>Assign backup QA resource; expedite testing before leave starts</t>
  </si>
  <si>
    <t>Monitoring</t>
  </si>
  <si>
    <t>Leave Calendar: LV-001</t>
  </si>
  <si>
    <t>RSK-002</t>
  </si>
  <si>
    <t>Schedule</t>
  </si>
  <si>
    <t>Release falls on quarter-end freeze period</t>
  </si>
  <si>
    <t>Deployment</t>
  </si>
  <si>
    <t>Obtain CAB exemption for low-impact UI change</t>
  </si>
  <si>
    <t>Mitigating</t>
  </si>
  <si>
    <t>Change Freeze exception requested</t>
  </si>
  <si>
    <t>RSK-003</t>
  </si>
  <si>
    <t>Technical</t>
  </si>
  <si>
    <t>Minor JavaScript compatibility issue with IE11 users (2% of user base)</t>
  </si>
  <si>
    <t>User Experience</t>
  </si>
  <si>
    <t>Add browser detection; display upgrade notice for IE11 users</t>
  </si>
  <si>
    <t>Accepted</t>
  </si>
  <si>
    <t>Low user impact; IE11 EOL communicated</t>
  </si>
  <si>
    <t>RSK-004</t>
  </si>
  <si>
    <t>Vendor</t>
  </si>
  <si>
    <t>Zendesk maintenance window scheduled same week</t>
  </si>
  <si>
    <t>Availability</t>
  </si>
  <si>
    <t>Coordinate with Zendesk support; confirm no conflict</t>
  </si>
  <si>
    <t>Vendor Manager</t>
  </si>
  <si>
    <t>Awaiting Zendesk confirmation</t>
  </si>
  <si>
    <t>RSK-005</t>
  </si>
  <si>
    <t>Dependency</t>
  </si>
  <si>
    <t>Upstream ERP data feed changes not yet deployed</t>
  </si>
  <si>
    <t>Expedite ERP change; implement data validation fallback</t>
  </si>
  <si>
    <t>Integration Lead</t>
  </si>
  <si>
    <t>Dependency on Finance team ERP release</t>
  </si>
  <si>
    <t>RSK-006</t>
  </si>
  <si>
    <t>UAT incomplete - 3 of 12 test scenarios pending</t>
  </si>
  <si>
    <t>Quality</t>
  </si>
  <si>
    <t>Prioritize remaining scenarios; extend UAT by 1 day if needed</t>
  </si>
  <si>
    <t>78% UAT complete</t>
  </si>
  <si>
    <t>RSK-007</t>
  </si>
  <si>
    <t>Key developer on conference during hypercare period</t>
  </si>
  <si>
    <t>Support</t>
  </si>
  <si>
    <t>Ensure knowledge transfer; establish remote support protocol</t>
  </si>
  <si>
    <t>Developer available via mobile</t>
  </si>
  <si>
    <t>RSK-008</t>
  </si>
  <si>
    <t>Compliance</t>
  </si>
  <si>
    <t>Legal review of new data sharing clauses pending</t>
  </si>
  <si>
    <t>Legal/Regulatory</t>
  </si>
  <si>
    <t>Escalate to Legal Director; prepare rollback plan</t>
  </si>
  <si>
    <t>Legal Counsel</t>
  </si>
  <si>
    <t>GDPR implications under review</t>
  </si>
  <si>
    <t>RSK-009</t>
  </si>
  <si>
    <t>API rate limiting may cause timeout during peak hours</t>
  </si>
  <si>
    <t>Performance</t>
  </si>
  <si>
    <t>Implement request queuing; schedule deployment for off-peak</t>
  </si>
  <si>
    <t>Load testing in progress</t>
  </si>
  <si>
    <t>RSK-010</t>
  </si>
  <si>
    <t>Scope</t>
  </si>
  <si>
    <t>Additional report requested by Plant Manager - scope creep</t>
  </si>
  <si>
    <t>Defer new report to next release; document in backlog</t>
  </si>
  <si>
    <t>Product Owner</t>
  </si>
  <si>
    <t>Change request logged for v2.6</t>
  </si>
  <si>
    <t>RSK-011</t>
  </si>
  <si>
    <t>Test environment scheduled for maintenance during testing</t>
  </si>
  <si>
    <t>Reschedule env maintenance or use backup test instance</t>
  </si>
  <si>
    <t>Env Manager</t>
  </si>
  <si>
    <t>Coordinating with IT Ops</t>
  </si>
  <si>
    <t>RSK-012</t>
  </si>
  <si>
    <t>Drift</t>
  </si>
  <si>
    <t>UAT Oracle version mismatch (18c vs 19c) - DFT-001</t>
  </si>
  <si>
    <t>Upgrade UAT Oracle or modify queries for compatibility</t>
  </si>
  <si>
    <t>DBA Lead</t>
  </si>
  <si>
    <t>See Drift sheet DFT-001</t>
  </si>
  <si>
    <t>RSK-013</t>
  </si>
  <si>
    <t>Pre-prod API timeout config mismatch - DFT-002</t>
  </si>
  <si>
    <t>Align Pre-prod timeout settings with Prod</t>
  </si>
  <si>
    <t>DevOps</t>
  </si>
  <si>
    <t>See Drift sheet DFT-002</t>
  </si>
  <si>
    <t>RSK-014</t>
  </si>
  <si>
    <t>New charting library has known memory leak in Chrome</t>
  </si>
  <si>
    <t>Apply vendor patch; implement cleanup routine</t>
  </si>
  <si>
    <t>Dev Team</t>
  </si>
  <si>
    <t>Patch available, testing in progress</t>
  </si>
  <si>
    <t>RSK-015</t>
  </si>
  <si>
    <t>Dev Manager (Alex Rivera) on leave during final testing</t>
  </si>
  <si>
    <t>Decisions</t>
  </si>
  <si>
    <t>Delegate approval authority; pre-approve critical decisions</t>
  </si>
  <si>
    <t>Director</t>
  </si>
  <si>
    <t>Leave Calendar: LV-004</t>
  </si>
  <si>
    <t>RSK-016</t>
  </si>
  <si>
    <t>Training</t>
  </si>
  <si>
    <t>End-user training not yet scheduled</t>
  </si>
  <si>
    <t>Adoption</t>
  </si>
  <si>
    <t>Schedule training sessions; prepare quick-start guide</t>
  </si>
  <si>
    <t>Training Lead</t>
  </si>
  <si>
    <t>Training dates being finalized</t>
  </si>
  <si>
    <t>RSK-017</t>
  </si>
  <si>
    <t>Patch addresses critical CVE - delay increases exposure</t>
  </si>
  <si>
    <t>Prioritize release; implement compensating controls until deployed</t>
  </si>
  <si>
    <t>Security Lead</t>
  </si>
  <si>
    <t>CVE-2026-1234 - CVSS 8.1</t>
  </si>
  <si>
    <t>RSK-018</t>
  </si>
  <si>
    <t>Requires agent update on 50+ monitored servers</t>
  </si>
  <si>
    <t>Phase rollout by server criticality; prepare rollback scripts</t>
  </si>
  <si>
    <t>IT Ops</t>
  </si>
  <si>
    <t>Rollout plan under review</t>
  </si>
  <si>
    <t>RSK-019</t>
  </si>
  <si>
    <t>Limited time for regression testing across all integrations</t>
  </si>
  <si>
    <t>Focus on critical integrations; accept risk on low-priority monitors</t>
  </si>
  <si>
    <t>Risk-based testing approach</t>
  </si>
  <si>
    <t>RSK-020</t>
  </si>
  <si>
    <t>Pre-prod memory insufficient for batch processing - DFT-004</t>
  </si>
  <si>
    <t>Escalate RAM upgrade request to Infrastructure Director</t>
  </si>
  <si>
    <t>Infra Manager</t>
  </si>
  <si>
    <t>See Drift sheet DFT-004 - CRITICAL</t>
  </si>
  <si>
    <t>RSK-021</t>
  </si>
  <si>
    <t>Feature flags not synced to UAT - DFT-005</t>
  </si>
  <si>
    <t>Sync feature flags before UAT sign-off</t>
  </si>
  <si>
    <t>See Drift sheet DFT-005</t>
  </si>
  <si>
    <t>RSK-022</t>
  </si>
  <si>
    <t>Carrier API version mismatch in UAT - DFT-006</t>
  </si>
  <si>
    <t>Update UAT carrier API endpoint configuration</t>
  </si>
  <si>
    <t>See Drift sheet DFT-006</t>
  </si>
  <si>
    <t>RSK-023</t>
  </si>
  <si>
    <t>Business</t>
  </si>
  <si>
    <t>Peak season approaching - failed release impacts fulfillment</t>
  </si>
  <si>
    <t>Ensure robust rollback plan; schedule for low-volume window</t>
  </si>
  <si>
    <t>Operations Dir</t>
  </si>
  <si>
    <t>Q3 peak starts Aug 15</t>
  </si>
  <si>
    <t>RSK-024</t>
  </si>
  <si>
    <t>Change Mgmt</t>
  </si>
  <si>
    <t>Warehouse staff require retraining on new RF gun interface</t>
  </si>
  <si>
    <t>Deploy training app; schedule floor training sessions</t>
  </si>
  <si>
    <t>Warehouse Mgr</t>
  </si>
  <si>
    <t>Training materials ready</t>
  </si>
  <si>
    <t>RSK-025</t>
  </si>
  <si>
    <t>Rollback</t>
  </si>
  <si>
    <t>Rollback complexity high due to database schema changes</t>
  </si>
  <si>
    <t>Recovery</t>
  </si>
  <si>
    <t>Pre-create rollback scripts; test rollback in Pre-prod</t>
  </si>
  <si>
    <t>Rollback tested successfully</t>
  </si>
  <si>
    <t>RSK-026</t>
  </si>
  <si>
    <t>HR owner (Jack Wilson) on sick leave</t>
  </si>
  <si>
    <t>Identify backup approver; document approval delegation</t>
  </si>
  <si>
    <t>Leave Calendar: LV-003</t>
  </si>
  <si>
    <t>RSK-027</t>
  </si>
  <si>
    <t>Payroll calculation changes require audit trail documentation</t>
  </si>
  <si>
    <t>Audit</t>
  </si>
  <si>
    <t>Ensure change log captures all config modifications</t>
  </si>
  <si>
    <t>SOX control requirement</t>
  </si>
  <si>
    <t>RSK-028</t>
  </si>
  <si>
    <t>Update requires CrowdStrike support window coordination</t>
  </si>
  <si>
    <t>Confirm vendor support availability; book slot</t>
  </si>
  <si>
    <t>Standard vendor coordination</t>
  </si>
  <si>
    <t>RSK-029</t>
  </si>
  <si>
    <t>Fix may impact 3 downstream financial reports</t>
  </si>
  <si>
    <t>Validate downstream reports in UAT; notify Finance team</t>
  </si>
  <si>
    <t>Finance BA</t>
  </si>
  <si>
    <t>Impact assessment complete</t>
  </si>
  <si>
    <t>RSK-030</t>
  </si>
  <si>
    <t>Month-end close - Finance team availability limited</t>
  </si>
  <si>
    <t>Schedule deployment post-close or obtain dedicated support</t>
  </si>
  <si>
    <t>Finance Dir</t>
  </si>
  <si>
    <t>Targeting post-close window</t>
  </si>
  <si>
    <t>RSK-031</t>
  </si>
  <si>
    <t>Marketing campaign data sync timing during deployment</t>
  </si>
  <si>
    <t>Marketing</t>
  </si>
  <si>
    <t>Schedule deployment outside campaign send windows</t>
  </si>
  <si>
    <t>Marketing Ops</t>
  </si>
  <si>
    <t>Low risk - standard precaution</t>
  </si>
  <si>
    <t>RISK SCORING MATRIX</t>
  </si>
  <si>
    <t>Likelihood Scale</t>
  </si>
  <si>
    <t>Rare</t>
  </si>
  <si>
    <t>&lt; 10% chance</t>
  </si>
  <si>
    <t>Unlikely</t>
  </si>
  <si>
    <t>10-25% chance</t>
  </si>
  <si>
    <t>Possible</t>
  </si>
  <si>
    <t>25-50% chance</t>
  </si>
  <si>
    <t>Likely</t>
  </si>
  <si>
    <t>50-75% chance</t>
  </si>
  <si>
    <t>Almost Certain</t>
  </si>
  <si>
    <t>&gt; 75% chance</t>
  </si>
  <si>
    <t>Impact Scale</t>
  </si>
  <si>
    <t>Negligible</t>
  </si>
  <si>
    <t>Minor inconvenience</t>
  </si>
  <si>
    <t>Minor</t>
  </si>
  <si>
    <t>Some disruption, workaround available</t>
  </si>
  <si>
    <t>Moderate</t>
  </si>
  <si>
    <t>Significant disruption</t>
  </si>
  <si>
    <t>Major</t>
  </si>
  <si>
    <t>Severe business impact</t>
  </si>
  <si>
    <t>Severe</t>
  </si>
  <si>
    <t>Critical failure, major loss</t>
  </si>
  <si>
    <t>Risk Score = Likelihood × Impact</t>
  </si>
  <si>
    <t>Monitor</t>
  </si>
  <si>
    <t>Mitigate</t>
  </si>
  <si>
    <t>Escalate</t>
  </si>
  <si>
    <t>20-25</t>
  </si>
  <si>
    <t>Immediate Action</t>
  </si>
  <si>
    <t>SUMMARY STATISTICS</t>
  </si>
  <si>
    <t>Total Risks</t>
  </si>
  <si>
    <t>Critical Risks (20+)</t>
  </si>
  <si>
    <t>High Risks (12-19)</t>
  </si>
  <si>
    <t>Medium Risks (6-11)</t>
  </si>
  <si>
    <t>Low Risks (1-5)</t>
  </si>
  <si>
    <t>Drift-Related Risks</t>
  </si>
  <si>
    <t>Escalated Status</t>
  </si>
  <si>
    <t>Open Status</t>
  </si>
  <si>
    <t>Risk</t>
  </si>
  <si>
    <t>Release Owner ID</t>
  </si>
  <si>
    <t>Approval Status</t>
  </si>
  <si>
    <t>Depends On</t>
  </si>
  <si>
    <t>Rollback Plan</t>
  </si>
  <si>
    <t>Go-Live Checklist %</t>
  </si>
  <si>
    <t>Stakeholder IDs</t>
  </si>
  <si>
    <t>Deployment Window</t>
  </si>
  <si>
    <t>On Hold</t>
  </si>
  <si>
    <t>At Risk</t>
  </si>
  <si>
    <t>USR-073,USR-085,USR-097</t>
  </si>
  <si>
    <t>Off-Peak</t>
  </si>
  <si>
    <t>CAB Approved</t>
  </si>
  <si>
    <t>Ready</t>
  </si>
  <si>
    <t>USR-074,USR-086,USR-098</t>
  </si>
  <si>
    <t>Weekend</t>
  </si>
  <si>
    <t>USR-075,USR-087,USR-097</t>
  </si>
  <si>
    <t>Business Hours</t>
  </si>
  <si>
    <t>CAB Submitted</t>
  </si>
  <si>
    <t>USR-076,USR-088,USR-098</t>
  </si>
  <si>
    <t>USR-077,USR-089,USR-097</t>
  </si>
  <si>
    <t>USR-078,USR-090,USR-098</t>
  </si>
  <si>
    <t>USR-079,USR-091,USR-097</t>
  </si>
  <si>
    <t>Planning</t>
  </si>
  <si>
    <t>Not Started</t>
  </si>
  <si>
    <t>USR-080,USR-092,USR-098</t>
  </si>
  <si>
    <t>Draft</t>
  </si>
  <si>
    <t>REL-0014,REL-0012</t>
  </si>
  <si>
    <t>REL-0022,REL-0020</t>
  </si>
  <si>
    <t>REL-0030,REL-0028</t>
  </si>
  <si>
    <t>REL-0038,REL-0036</t>
  </si>
  <si>
    <t>REL-0046,REL-0044</t>
  </si>
  <si>
    <t>REL-0054,REL-0052</t>
  </si>
  <si>
    <t>REL-0062,REL-0060</t>
  </si>
  <si>
    <t>REL-0070,REL-0068</t>
  </si>
  <si>
    <t>Blocked</t>
  </si>
  <si>
    <t>Approved</t>
  </si>
  <si>
    <t>Pending CAB</t>
  </si>
  <si>
    <t>RELEASE DEPENDENCIES TRACKER</t>
  </si>
  <si>
    <t>Dep ID</t>
  </si>
  <si>
    <t>Depends On Release</t>
  </si>
  <si>
    <t>Depends On Name</t>
  </si>
  <si>
    <t>Dependency Type</t>
  </si>
  <si>
    <t>Impact if Blocked</t>
  </si>
  <si>
    <t>DEP-001</t>
  </si>
  <si>
    <t>Hard</t>
  </si>
  <si>
    <t>Clear</t>
  </si>
  <si>
    <t>Release Delay</t>
  </si>
  <si>
    <t>API contract must be deployed first</t>
  </si>
  <si>
    <t>DEP-002</t>
  </si>
  <si>
    <t>Soft</t>
  </si>
  <si>
    <t>Partial Functionality</t>
  </si>
  <si>
    <t>Shared database schema changes</t>
  </si>
  <si>
    <t>DEP-003</t>
  </si>
  <si>
    <t>Data Integrity Risk</t>
  </si>
  <si>
    <t>Common security module dependency</t>
  </si>
  <si>
    <t>DEP-004</t>
  </si>
  <si>
    <t>Resolved</t>
  </si>
  <si>
    <t>Integration Failure</t>
  </si>
  <si>
    <t>Integration endpoint prerequisites</t>
  </si>
  <si>
    <t>DEP-005</t>
  </si>
  <si>
    <t>Scope Reduction</t>
  </si>
  <si>
    <t>Shared configuration dependencies</t>
  </si>
  <si>
    <t>DEP-006</t>
  </si>
  <si>
    <t>Upstream data pipeline required</t>
  </si>
  <si>
    <t>DEP-007</t>
  </si>
  <si>
    <t>Common middleware version needed</t>
  </si>
  <si>
    <t>DEP-008</t>
  </si>
  <si>
    <t>Shared authentication module</t>
  </si>
  <si>
    <t>DEP-009</t>
  </si>
  <si>
    <t>Database migration dependency</t>
  </si>
  <si>
    <t>DEP-010</t>
  </si>
  <si>
    <t>API versioning requirement</t>
  </si>
  <si>
    <t>DEP-011</t>
  </si>
  <si>
    <t>DEP-012</t>
  </si>
  <si>
    <t>DEP-013</t>
  </si>
  <si>
    <t>DEP-014</t>
  </si>
  <si>
    <t>DEP-015</t>
  </si>
  <si>
    <t>DEP-016</t>
  </si>
  <si>
    <t>DEP-017</t>
  </si>
  <si>
    <t>DEP-018</t>
  </si>
  <si>
    <t>DEP-019</t>
  </si>
  <si>
    <t>DEP-020</t>
  </si>
  <si>
    <t>DEP-021</t>
  </si>
  <si>
    <t>DEP-022</t>
  </si>
  <si>
    <t>DEP-023</t>
  </si>
  <si>
    <t>DEP-024</t>
  </si>
  <si>
    <t>DEP-025</t>
  </si>
  <si>
    <t>DEP-026</t>
  </si>
  <si>
    <t>CAB APPROVAL WORKFLOW TRACKER</t>
  </si>
  <si>
    <t>Approval ID</t>
  </si>
  <si>
    <t>Approval Type</t>
  </si>
  <si>
    <t>Approver ID</t>
  </si>
  <si>
    <t>Approver Name</t>
  </si>
  <si>
    <t>Approver Role</t>
  </si>
  <si>
    <t>Submitted Date</t>
  </si>
  <si>
    <t>Decision Date</t>
  </si>
  <si>
    <t>Decision</t>
  </si>
  <si>
    <t>Comments</t>
  </si>
  <si>
    <t>CAB Meeting ID</t>
  </si>
  <si>
    <t>APR-0001</t>
  </si>
  <si>
    <t>Tech Review</t>
  </si>
  <si>
    <t>Rejected</t>
  </si>
  <si>
    <t>All technical requirements met</t>
  </si>
  <si>
    <t>CAB-1</t>
  </si>
  <si>
    <t>APR-0002</t>
  </si>
  <si>
    <t>Security Review</t>
  </si>
  <si>
    <t>Kendall Kim</t>
  </si>
  <si>
    <t>Pending</t>
  </si>
  <si>
    <t>Security scan passed, no vulnerabilities</t>
  </si>
  <si>
    <t>APR-0003</t>
  </si>
  <si>
    <t>Business Review</t>
  </si>
  <si>
    <t>Sam Adams</t>
  </si>
  <si>
    <t>Approved with Conditions</t>
  </si>
  <si>
    <t>Business impact assessment approved</t>
  </si>
  <si>
    <t>APR-0004</t>
  </si>
  <si>
    <t>APR-0005</t>
  </si>
  <si>
    <t>APR-0006</t>
  </si>
  <si>
    <t>Approved - ensure rollback plan is tested</t>
  </si>
  <si>
    <t>APR-0007</t>
  </si>
  <si>
    <t>CAB Final</t>
  </si>
  <si>
    <t>Taylor Anderson</t>
  </si>
  <si>
    <t>CAB approved for deployment</t>
  </si>
  <si>
    <t>APR-0008</t>
  </si>
  <si>
    <t>Change Manager</t>
  </si>
  <si>
    <t>Jordan Wright</t>
  </si>
  <si>
    <t>Change record closed</t>
  </si>
  <si>
    <t>APR-0009</t>
  </si>
  <si>
    <t>APR-0010</t>
  </si>
  <si>
    <t>APR-0011</t>
  </si>
  <si>
    <t>Requires additional UAT testing</t>
  </si>
  <si>
    <t>APR-0012</t>
  </si>
  <si>
    <t>APR-0013</t>
  </si>
  <si>
    <t>APR-0014</t>
  </si>
  <si>
    <t>CAB-2</t>
  </si>
  <si>
    <t>APR-0015</t>
  </si>
  <si>
    <t>APR-0016</t>
  </si>
  <si>
    <t>Awaiting security clearance</t>
  </si>
  <si>
    <t>APR-0017</t>
  </si>
  <si>
    <t>Awaiting CAB meeting</t>
  </si>
  <si>
    <t>APR-0018</t>
  </si>
  <si>
    <t>Rollback procedure validated</t>
  </si>
  <si>
    <t>APR-0019</t>
  </si>
  <si>
    <t>Approved for off-peak deployment</t>
  </si>
  <si>
    <t>APR-0020</t>
  </si>
  <si>
    <t>Compliance checklist complete</t>
  </si>
  <si>
    <t>APR-0021</t>
  </si>
  <si>
    <t>APR-0022</t>
  </si>
  <si>
    <t>APR-0023</t>
  </si>
  <si>
    <t>APR-0024</t>
  </si>
  <si>
    <t>APR-0025</t>
  </si>
  <si>
    <t>APR-0026</t>
  </si>
  <si>
    <t>APR-0027</t>
  </si>
  <si>
    <t>Risk Owner ID</t>
  </si>
  <si>
    <t>Dependencies</t>
  </si>
  <si>
    <t>26 release-to-release dependencies</t>
  </si>
  <si>
    <t>Approvals</t>
  </si>
  <si>
    <t>Draft → Planning → Testing → CAB Submitted → CAB Approved → Deploying → Deployed → PIR Complete → Closed</t>
  </si>
  <si>
    <t>COMPREHENSIVE RELEASE RISK SCORING MODEL</t>
  </si>
  <si>
    <t>Multi-factor weighted risk assessment for Release Desk Go/No-Go decisions</t>
  </si>
  <si>
    <t>Category</t>
  </si>
  <si>
    <t>Weight %</t>
  </si>
  <si>
    <t>Data Source</t>
  </si>
  <si>
    <t>Technical Complexity</t>
  </si>
  <si>
    <t>Files Changed</t>
  </si>
  <si>
    <t>Git/SCM</t>
  </si>
  <si>
    <t>Code Churn (LOC)</t>
  </si>
  <si>
    <t>DB Schema Changes</t>
  </si>
  <si>
    <t>Migration Scripts</t>
  </si>
  <si>
    <t>API Contract Changes</t>
  </si>
  <si>
    <t>Breaking API changes</t>
  </si>
  <si>
    <t>API Specs</t>
  </si>
  <si>
    <t>Testing Quality</t>
  </si>
  <si>
    <t>Test Coverage %</t>
  </si>
  <si>
    <t>Test Execution Days</t>
  </si>
  <si>
    <t>Bugs Found (Test)</t>
  </si>
  <si>
    <t>Bug Fix Rate %</t>
  </si>
  <si>
    <t>UAT Duration Days</t>
  </si>
  <si>
    <t>Release Schedule</t>
  </si>
  <si>
    <t>UAT Defects</t>
  </si>
  <si>
    <t>Defects found in UAT</t>
  </si>
  <si>
    <t>UAT Sign-off</t>
  </si>
  <si>
    <t>Resource &amp; Schedule</t>
  </si>
  <si>
    <t>Testers Allocated</t>
  </si>
  <si>
    <t>All available</t>
  </si>
  <si>
    <t>Days Until Release</t>
  </si>
  <si>
    <t>Downstream Releases</t>
  </si>
  <si>
    <t>Env &amp; Dependencies</t>
  </si>
  <si>
    <t>Drift Issues</t>
  </si>
  <si>
    <t>Dependency Count</t>
  </si>
  <si>
    <t>Dependency Health</t>
  </si>
  <si>
    <t>Operational Readiness</t>
  </si>
  <si>
    <t>During freeze</t>
  </si>
  <si>
    <t>Vendor Coordination</t>
  </si>
  <si>
    <t>Confirmed</t>
  </si>
  <si>
    <t>WEIGHT SUMMARY BY CATEGORY</t>
  </si>
  <si>
    <t>TOTAL</t>
  </si>
  <si>
    <t>Score Range</t>
  </si>
  <si>
    <t>Risk Level</t>
  </si>
  <si>
    <t>Action</t>
  </si>
  <si>
    <t>LOW</t>
  </si>
  <si>
    <t>1.5 - 2.5</t>
  </si>
  <si>
    <t>MEDIUM</t>
  </si>
  <si>
    <t>2.5 - 3.5</t>
  </si>
  <si>
    <t>3.5 - 4.0</t>
  </si>
  <si>
    <t>SEVERE</t>
  </si>
  <si>
    <t>RELEASE RISK ASSESSMENT DATA</t>
  </si>
  <si>
    <t>Code Churn</t>
  </si>
  <si>
    <t>DB Changes</t>
  </si>
  <si>
    <t>API Changes</t>
  </si>
  <si>
    <t>Test Bugs</t>
  </si>
  <si>
    <t>Dep Health</t>
  </si>
  <si>
    <t>WEIGHTED SCORE</t>
  </si>
  <si>
    <t>RISK LEVEL</t>
  </si>
  <si>
    <t>Count</t>
  </si>
  <si>
    <t>Total Releases Assessed</t>
  </si>
  <si>
    <t>SEVERE Risk Releases</t>
  </si>
  <si>
    <t>Immediate review required</t>
  </si>
  <si>
    <t>CRITICAL Risk Releases</t>
  </si>
  <si>
    <t>HIGH Risk Releases</t>
  </si>
  <si>
    <t>MEDIUM Risk Releases</t>
  </si>
  <si>
    <t>LOW Risk Releases</t>
  </si>
  <si>
    <t>Average Risk Score</t>
  </si>
  <si>
    <t>Highest Risk Release</t>
  </si>
  <si>
    <t>Risk Factors</t>
  </si>
  <si>
    <t>Fully tested</t>
  </si>
  <si>
    <t>Not tested</t>
  </si>
  <si>
    <t>Test Results</t>
  </si>
  <si>
    <t>Tested in Pre-prod</t>
  </si>
  <si>
    <t>0 failures (12mo)</t>
  </si>
  <si>
    <t>Incident History</t>
  </si>
  <si>
    <t>Release History</t>
  </si>
  <si>
    <t>&lt; 14 days</t>
  </si>
  <si>
    <t>Incident Metrics</t>
  </si>
  <si>
    <t>BC Tested</t>
  </si>
  <si>
    <t>Rollback Tested</t>
  </si>
  <si>
    <t>MTBF Days</t>
  </si>
  <si>
    <t>Rollback Flow Tested</t>
  </si>
  <si>
    <t>Never tested</t>
  </si>
  <si>
    <t>Deployment Runbook</t>
  </si>
  <si>
    <t>FORMULA: Weighted Score = Σ (Factor Score × Factor Weight)</t>
  </si>
  <si>
    <t>#</t>
  </si>
  <si>
    <t>Factor</t>
  </si>
  <si>
    <t>Raw Value</t>
  </si>
  <si>
    <t>Score Logic</t>
  </si>
  <si>
    <t>Score (1-5)</t>
  </si>
  <si>
    <t>Weight</t>
  </si>
  <si>
    <t>Contribution</t>
  </si>
  <si>
    <t>1 if &lt;10, 2 if &lt;30, 3 if &lt;60, 4 if &lt;100, else 5</t>
  </si>
  <si>
    <t>1 if &lt;200, 2 if &lt;500, 3 if &lt;1500, 4 if &lt;3000, else 5</t>
  </si>
  <si>
    <t>1 if 0, 2 if 1, 3 if 2, 4 if &lt;5, else 5</t>
  </si>
  <si>
    <t>1 if 0, 2 if 1, 3 if 2, 4 if 3, else 5</t>
  </si>
  <si>
    <t>1 if &gt;90, 2 if &gt;80, 3 if &gt;70, 4 if &gt;60, else 5</t>
  </si>
  <si>
    <t>1 if &lt;3, 2 if &lt;5, 3 if &lt;7, 4 if &lt;10, else 5</t>
  </si>
  <si>
    <t>1 if &lt;3, 2 if &lt;6, 3 if &lt;10, 4 if &lt;15, else 5</t>
  </si>
  <si>
    <t>1 if &gt;95, 2 if &gt;85, 3 if &gt;75, 4 if &gt;60, else 5</t>
  </si>
  <si>
    <t>1 if &lt;2, 2 if &lt;4, 3 if &lt;6, 4 if &lt;8, else 5</t>
  </si>
  <si>
    <t>Key Staff Availability</t>
  </si>
  <si>
    <t>Change Freeze Impact</t>
  </si>
  <si>
    <t>1 if &gt;60, 2 if &gt;30, 3 if &gt;14, 4 if &gt;7, else 5</t>
  </si>
  <si>
    <t>No</t>
  </si>
  <si>
    <t>Risk Level:</t>
  </si>
  <si>
    <t>Factor Name</t>
  </si>
  <si>
    <t>Score 1 (Best)</t>
  </si>
  <si>
    <t>Score 5 (Worst)</t>
  </si>
  <si>
    <t>Number of modified files</t>
  </si>
  <si>
    <t>&lt;10</t>
  </si>
  <si>
    <t>≥100</t>
  </si>
  <si>
    <t>Lines of code changed</t>
  </si>
  <si>
    <t>&lt;200</t>
  </si>
  <si>
    <t>≥3000</t>
  </si>
  <si>
    <t>Database schema modifications</t>
  </si>
  <si>
    <t>≥5</t>
  </si>
  <si>
    <t>≥4</t>
  </si>
  <si>
    <t>New Technology Stack</t>
  </si>
  <si>
    <t>Unfamiliar tech introduced</t>
  </si>
  <si>
    <t>Proven stack</t>
  </si>
  <si>
    <t>Entirely new</t>
  </si>
  <si>
    <t>Architecture Review</t>
  </si>
  <si>
    <t>Code coverage percentage</t>
  </si>
  <si>
    <t>&gt;90%</t>
  </si>
  <si>
    <t>&lt;60%</t>
  </si>
  <si>
    <t>SonarQube</t>
  </si>
  <si>
    <t>Testing duration</t>
  </si>
  <si>
    <t>&lt;3 days</t>
  </si>
  <si>
    <t>≥10 days</t>
  </si>
  <si>
    <t>Test Plan</t>
  </si>
  <si>
    <t>Defects discovered in testing</t>
  </si>
  <si>
    <t>&lt;3</t>
  </si>
  <si>
    <t>≥15</t>
  </si>
  <si>
    <t>Jira</t>
  </si>
  <si>
    <t>Defects fixed vs found</t>
  </si>
  <si>
    <t>&gt;95%</t>
  </si>
  <si>
    <t>UAT testing period</t>
  </si>
  <si>
    <t>UAT Plan</t>
  </si>
  <si>
    <t>&lt;2</t>
  </si>
  <si>
    <t>≥8</t>
  </si>
  <si>
    <t>Business sign-off status</t>
  </si>
  <si>
    <t>Full sign-off</t>
  </si>
  <si>
    <t>No sign-off</t>
  </si>
  <si>
    <t>UAT Tracker</t>
  </si>
  <si>
    <t>Test Env Parity</t>
  </si>
  <si>
    <t>Test env match with Prod</t>
  </si>
  <si>
    <t>≥95% match</t>
  </si>
  <si>
    <t>&lt;60% match</t>
  </si>
  <si>
    <t>Env Config</t>
  </si>
  <si>
    <t>Security &amp; Compliance</t>
  </si>
  <si>
    <t>Critical/High Vulns</t>
  </si>
  <si>
    <t>Open security vulnerabilities</t>
  </si>
  <si>
    <t>SAST/DAST</t>
  </si>
  <si>
    <t>Pen Test Sign-off</t>
  </si>
  <si>
    <t>Penetration test status</t>
  </si>
  <si>
    <t>Passed</t>
  </si>
  <si>
    <t>Not done</t>
  </si>
  <si>
    <t>Security Team</t>
  </si>
  <si>
    <t>Compliance Gate</t>
  </si>
  <si>
    <t>SOX/GDPR/PCI-DSS status</t>
  </si>
  <si>
    <t>All passed</t>
  </si>
  <si>
    <t>GRC System</t>
  </si>
  <si>
    <t>Data Migration</t>
  </si>
  <si>
    <t>Migration Required</t>
  </si>
  <si>
    <t>Data migration needed</t>
  </si>
  <si>
    <t>Yes, complex</t>
  </si>
  <si>
    <t>Release Notes</t>
  </si>
  <si>
    <t>Backup Restore Tested</t>
  </si>
  <si>
    <t>Backup/restore verified</t>
  </si>
  <si>
    <t>Yes, verified</t>
  </si>
  <si>
    <t>DBA Team</t>
  </si>
  <si>
    <t>Migration Script Tested</t>
  </si>
  <si>
    <t>Migration scripts validated</t>
  </si>
  <si>
    <t>QA resource count</t>
  </si>
  <si>
    <t>&gt;3</t>
  </si>
  <si>
    <t>1 or none</t>
  </si>
  <si>
    <t>Resource Plan</t>
  </si>
  <si>
    <t>Critical personnel present</t>
  </si>
  <si>
    <t>Key staff OOO</t>
  </si>
  <si>
    <t>Time to deployment</t>
  </si>
  <si>
    <t>&gt;30 days</t>
  </si>
  <si>
    <t>&lt;5 days</t>
  </si>
  <si>
    <t>Dependent releases count</t>
  </si>
  <si>
    <t>Overlapping Releases</t>
  </si>
  <si>
    <t>Releases in same window</t>
  </si>
  <si>
    <t>Release Calendar</t>
  </si>
  <si>
    <t>Environment drift count</t>
  </si>
  <si>
    <t>Drift Tracker</t>
  </si>
  <si>
    <t>External dependencies</t>
  </si>
  <si>
    <t>Upstream system status</t>
  </si>
  <si>
    <t>All healthy</t>
  </si>
  <si>
    <t>Critical blocked</t>
  </si>
  <si>
    <t>Health Dashboard</t>
  </si>
  <si>
    <t>Feature Flag Cleanup</t>
  </si>
  <si>
    <t>Stale feature flags</t>
  </si>
  <si>
    <t>Clean</t>
  </si>
  <si>
    <t>≥5 stale flags</t>
  </si>
  <si>
    <t>Feature Mgmt</t>
  </si>
  <si>
    <t>Rollback documented</t>
  </si>
  <si>
    <t>Full plan tested</t>
  </si>
  <si>
    <t>No plan</t>
  </si>
  <si>
    <t>Runbook</t>
  </si>
  <si>
    <t>Checklist completion</t>
  </si>
  <si>
    <t>&lt;50%</t>
  </si>
  <si>
    <t>Checklist</t>
  </si>
  <si>
    <t>Freeze window conflict</t>
  </si>
  <si>
    <t>No conflict</t>
  </si>
  <si>
    <t>Vendor readiness</t>
  </si>
  <si>
    <t>Not coordinated</t>
  </si>
  <si>
    <t>Vendor Mgmt</t>
  </si>
  <si>
    <t>Rollback Time RTO</t>
  </si>
  <si>
    <t>Rollback duration (min)</t>
  </si>
  <si>
    <t>&lt;15 min</t>
  </si>
  <si>
    <t>&gt;120 min</t>
  </si>
  <si>
    <t>Deployment Automation %</t>
  </si>
  <si>
    <t>Automation level</t>
  </si>
  <si>
    <t>CI/CD Pipeline</t>
  </si>
  <si>
    <t>Performance &amp; Scalability</t>
  </si>
  <si>
    <t>Load Test Status</t>
  </si>
  <si>
    <t>Load testing result</t>
  </si>
  <si>
    <t>Perf Team</t>
  </si>
  <si>
    <t>Perf Regression %</t>
  </si>
  <si>
    <t>Performance vs baseline</t>
  </si>
  <si>
    <t>&lt;5%</t>
  </si>
  <si>
    <t>&gt;25%</t>
  </si>
  <si>
    <t>APM Tools</t>
  </si>
  <si>
    <t>Backward compatibility</t>
  </si>
  <si>
    <t>Rollback rehearsal done</t>
  </si>
  <si>
    <t>Previous Failures</t>
  </si>
  <si>
    <t>Past failure history</t>
  </si>
  <si>
    <t>≥3 failures</t>
  </si>
  <si>
    <t>Release Cadence Dev</t>
  </si>
  <si>
    <t>Deviation from schedule</t>
  </si>
  <si>
    <t>On schedule</t>
  </si>
  <si>
    <t>&gt;14 days late</t>
  </si>
  <si>
    <t>Release Plan</t>
  </si>
  <si>
    <t>Mean time between failures</t>
  </si>
  <si>
    <t>&gt;180 days</t>
  </si>
  <si>
    <t>&lt;14 days</t>
  </si>
  <si>
    <t>Recent Incidents</t>
  </si>
  <si>
    <t>Incidents last 30 days</t>
  </si>
  <si>
    <t>≥3</t>
  </si>
  <si>
    <t>Incident Mgmt</t>
  </si>
  <si>
    <t>Business Criticality</t>
  </si>
  <si>
    <t>Revenue Impact</t>
  </si>
  <si>
    <t>Revenue risk if failed</t>
  </si>
  <si>
    <t>Business Team</t>
  </si>
  <si>
    <t>User Blast Radius</t>
  </si>
  <si>
    <t>Users/customers affected</t>
  </si>
  <si>
    <t>&lt;100</t>
  </si>
  <si>
    <t>&gt;100K or all</t>
  </si>
  <si>
    <t>Product Team</t>
  </si>
  <si>
    <t>Factors</t>
  </si>
  <si>
    <t>5 factors</t>
  </si>
  <si>
    <t>8 factors</t>
  </si>
  <si>
    <t>3 factors</t>
  </si>
  <si>
    <t>4 factors</t>
  </si>
  <si>
    <t>6 factors</t>
  </si>
  <si>
    <t>2 factors</t>
  </si>
  <si>
    <t>44 factors</t>
  </si>
  <si>
    <t>New Tech Stack</t>
  </si>
  <si>
    <t>Crit/High Vulns</t>
  </si>
  <si>
    <t>Pen Test</t>
  </si>
  <si>
    <t>Migration Req</t>
  </si>
  <si>
    <t>Backup Tested</t>
  </si>
  <si>
    <t>Migration Script</t>
  </si>
  <si>
    <t>Key Staff Avail</t>
  </si>
  <si>
    <t>Overlapping Rels</t>
  </si>
  <si>
    <t>Dep Count</t>
  </si>
  <si>
    <t>Rollback RTO</t>
  </si>
  <si>
    <t>Deploy Automation %</t>
  </si>
  <si>
    <t>Load Test</t>
  </si>
  <si>
    <t>Cadence Dev</t>
  </si>
  <si>
    <t>Blast Radius</t>
  </si>
  <si>
    <t>Blue Workflow v2.1</t>
  </si>
  <si>
    <t>Zendesk Minor v4.3</t>
  </si>
  <si>
    <t>Oracle HFM Upgrade v12</t>
  </si>
  <si>
    <t>Coupa Integration v3.0</t>
  </si>
  <si>
    <t>Salesforce Patch v8.2</t>
  </si>
  <si>
    <t>SAP S4 Finance v2.0</t>
  </si>
  <si>
    <t>Workday HR Update v5.1</t>
  </si>
  <si>
    <t>Jira Workflow v3.4</t>
  </si>
  <si>
    <t>Manhattan WMS v6.0</t>
  </si>
  <si>
    <t>ServiceNow ITSM v4.2</t>
  </si>
  <si>
    <t>Tableau Dashboard v2.8</t>
  </si>
  <si>
    <t>WEIGHTED SCORE CALCULATION EXAMPLE - REL-0001</t>
  </si>
  <si>
    <t>The Weighted Risk Score combines 44 factors across 10 categories. Each factor is:</t>
  </si>
  <si>
    <t xml:space="preserve">  1. Converted from its raw value to a standardized score (1 = lowest risk, 5 = highest risk)</t>
  </si>
  <si>
    <t xml:space="preserve">  2. Multiplied by its assigned weight (all weights sum to 100%)</t>
  </si>
  <si>
    <t xml:space="preserve">  3. All weighted scores are summed to produce the final risk score</t>
  </si>
  <si>
    <t>For REL-0001 (Kyriba UI Tweak v4.5), here is the detailed breakdown:</t>
  </si>
  <si>
    <t>UAT Sign-off Level</t>
  </si>
  <si>
    <t>Test Env Parity Score</t>
  </si>
  <si>
    <t>1 if 0, 2 if &lt;3, 3 if &lt;5, 4 if &lt;10, else 5</t>
  </si>
  <si>
    <t>Team Size</t>
  </si>
  <si>
    <t>Deploy Window Hours</t>
  </si>
  <si>
    <t>Change Freeze Proximity</t>
  </si>
  <si>
    <t>1 if &gt;14, 2 if &gt;7, 3 if &gt;3, 4 if &gt;1, else 5</t>
  </si>
  <si>
    <t>Key Staff Available</t>
  </si>
  <si>
    <t>Dependencies Count</t>
  </si>
  <si>
    <t>Vendor Involvement</t>
  </si>
  <si>
    <t>1 if 0, 3 if 1, 5 if 2+</t>
  </si>
  <si>
    <t>Rollback Plan Tested</t>
  </si>
  <si>
    <t>Documentation Complete</t>
  </si>
  <si>
    <t>Monitoring Readiness</t>
  </si>
  <si>
    <t>Runbook Updated</t>
  </si>
  <si>
    <t>1 if &lt;15, 2 if &lt;30, 3 if &lt;60, 4 if &lt;120, else 5</t>
  </si>
  <si>
    <t>1 if &gt;90, 2 if &gt;75, 3 if &gt;50, 4 if &gt;25, else 5</t>
  </si>
  <si>
    <t>Load Test Completed</t>
  </si>
  <si>
    <t>1 if &lt;5, 2 if &lt;10, 3 if &lt;15, 4 if &lt;25, else 5</t>
  </si>
  <si>
    <t>Vendor Patch Status</t>
  </si>
  <si>
    <t>1 if &lt;2, 2 if &lt;5, 3 if &lt;10, 4 if &lt;20, else 5</t>
  </si>
  <si>
    <t>Past Failures</t>
  </si>
  <si>
    <t>BC Not Tested</t>
  </si>
  <si>
    <t>Rollback Not Tested</t>
  </si>
  <si>
    <t>1 if &lt;1000, 2 if &lt;5000, 3 if &lt;20000, 4 if &lt;50000, else 5</t>
  </si>
  <si>
    <t>REL-0001 FINAL RISK ASSESSMENT</t>
  </si>
  <si>
    <t>Weighted Risk Score:</t>
  </si>
  <si>
    <t>Deploy Window</t>
  </si>
  <si>
    <t>Freeze Proximity</t>
  </si>
  <si>
    <t>Docs Complete</t>
  </si>
  <si>
    <t>Monitoring Ready</t>
  </si>
  <si>
    <t>Deploy Auto %</t>
  </si>
  <si>
    <t>Vendor Patch</t>
  </si>
  <si>
    <t>Direct score (1=Proven, 5=Entirely new)</t>
  </si>
  <si>
    <t>UAT Defects Found</t>
  </si>
  <si>
    <t>1 if &lt;2, 2 if &lt;4, 3 if &lt;7, 4 if &lt;10, else 5</t>
  </si>
  <si>
    <t>INVERTED: 6 - value (5=full signoff=1)</t>
  </si>
  <si>
    <t>INVERTED: 6 - value (5=perfect parity=1)</t>
  </si>
  <si>
    <t>INVERTED: 6 - value (5=passed=1)</t>
  </si>
  <si>
    <t>INVERTED: 6 - value (5=passed all=1)</t>
  </si>
  <si>
    <t>Data Migration Req</t>
  </si>
  <si>
    <t>Boolean: 0=No(1), 1=Yes(3)</t>
  </si>
  <si>
    <t>INVERTED: 6 - value (5=tested=1)</t>
  </si>
  <si>
    <t>INVERTED: 6 - value (5=all available=1)</t>
  </si>
  <si>
    <t>INVERTED: 6 - value (5=all healthy=1)</t>
  </si>
  <si>
    <t>INVERTED: 6 - value (5=clean=1)</t>
  </si>
  <si>
    <t>INVERTED: 6 - value (5=complete=1)</t>
  </si>
  <si>
    <t>INVERTED: 6 - value (5=ready=1)</t>
  </si>
  <si>
    <t>INVERTED: 6 - value (5=updated=1)</t>
  </si>
  <si>
    <t>Rollback Time RTO (min)</t>
  </si>
  <si>
    <t>INVERTED: 6 - value (5=current=1)</t>
  </si>
  <si>
    <t>Direct score (1=Low, 3=Medium, 5=High)</t>
  </si>
  <si>
    <t>Interpretation: REL-0001 has a LOW risk score, indicating minimal risk factors. It uses proven technology, has good test coverage (85%), zero critical vulnerabilities, and all dependencies are healthy. The small scope (12 files, 320 LOC) and experienced team contribute to the low risk profile.</t>
  </si>
  <si>
    <t>RISK SCORE THRESHOLDS</t>
  </si>
  <si>
    <t>Level</t>
  </si>
  <si>
    <t>&lt; 1.5</t>
  </si>
  <si>
    <t>Standard deployment</t>
  </si>
  <si>
    <t>Enhanced monitoring</t>
  </si>
  <si>
    <t>CAB review required</t>
  </si>
  <si>
    <t>Executive approval needed</t>
  </si>
  <si>
    <t>≥ 4.0</t>
  </si>
  <si>
    <t>Postpone or major mitigation</t>
  </si>
  <si>
    <t>1. DEPARTMENTS</t>
  </si>
  <si>
    <t>Dept ID</t>
  </si>
  <si>
    <t>Primary Focus</t>
  </si>
  <si>
    <t>DEPT-01</t>
  </si>
  <si>
    <t>Financial planning, reporting, treasury</t>
  </si>
  <si>
    <t>DEPT-02</t>
  </si>
  <si>
    <t>Warehouse, transportation, supply chain</t>
  </si>
  <si>
    <t>DEPT-03</t>
  </si>
  <si>
    <t>Sales, marketing, customer service</t>
  </si>
  <si>
    <t>DEPT-04</t>
  </si>
  <si>
    <t>Production, quality, MES systems</t>
  </si>
  <si>
    <t>DEPT-05</t>
  </si>
  <si>
    <t>Infrastructure, monitoring, service desk</t>
  </si>
  <si>
    <t>DEPT-06</t>
  </si>
  <si>
    <t>HCM, payroll, learning, talent</t>
  </si>
  <si>
    <t>DEPT-07</t>
  </si>
  <si>
    <t>Contracts, compliance, document management</t>
  </si>
  <si>
    <t>DEPT-08</t>
  </si>
  <si>
    <t>Identity, access, threat detection</t>
  </si>
  <si>
    <t>2. ENVIRONMENTS</t>
  </si>
  <si>
    <t>Env Code</t>
  </si>
  <si>
    <t>Promotion Order</t>
  </si>
  <si>
    <t>DEV</t>
  </si>
  <si>
    <t>Development</t>
  </si>
  <si>
    <t>24/7</t>
  </si>
  <si>
    <t>TEST</t>
  </si>
  <si>
    <t>User Acceptance</t>
  </si>
  <si>
    <t>PREPROD</t>
  </si>
  <si>
    <t>Pre-Production</t>
  </si>
  <si>
    <t>PROD</t>
  </si>
  <si>
    <t>Production</t>
  </si>
  <si>
    <t>Disaster Recovery</t>
  </si>
  <si>
    <t>Business continuity failover</t>
  </si>
  <si>
    <t>3. RELEASE SIZES</t>
  </si>
  <si>
    <t>Size</t>
  </si>
  <si>
    <t>CAB Lead Time</t>
  </si>
  <si>
    <t>Total Lead Time</t>
  </si>
  <si>
    <t>~8 days</t>
  </si>
  <si>
    <t>~12 days</t>
  </si>
  <si>
    <t>~22 days</t>
  </si>
  <si>
    <t>4. IMPACT LEVELS</t>
  </si>
  <si>
    <t>Code</t>
  </si>
  <si>
    <t>Examples</t>
  </si>
  <si>
    <t>H</t>
  </si>
  <si>
    <t>M</t>
  </si>
  <si>
    <t>Moderate impact, workarounds exist</t>
  </si>
  <si>
    <t>L</t>
  </si>
  <si>
    <t>Minimal impact, easily recoverable</t>
  </si>
  <si>
    <t>UI changes, Minor enhancements</t>
  </si>
  <si>
    <t>5. PRIORITY LEVELS</t>
  </si>
  <si>
    <t>Response Time</t>
  </si>
  <si>
    <t>Escalation</t>
  </si>
  <si>
    <t>P1</t>
  </si>
  <si>
    <t>Immediate</t>
  </si>
  <si>
    <t>CIO/VP Level</t>
  </si>
  <si>
    <t>Business-stopping issues, security breaches</t>
  </si>
  <si>
    <t>P2</t>
  </si>
  <si>
    <t>4 hours</t>
  </si>
  <si>
    <t>Director Level</t>
  </si>
  <si>
    <t>Major degradation, customer impacting</t>
  </si>
  <si>
    <t>P3</t>
  </si>
  <si>
    <t>1 business day</t>
  </si>
  <si>
    <t>Manager Level</t>
  </si>
  <si>
    <t>Important but not urgent issues</t>
  </si>
  <si>
    <t>P4</t>
  </si>
  <si>
    <t>5 business days</t>
  </si>
  <si>
    <t>Minor issues, enhancements</t>
  </si>
  <si>
    <t>6. RELEASE STATUS CODES</t>
  </si>
  <si>
    <t>Status Code</t>
  </si>
  <si>
    <t>Display Name</t>
  </si>
  <si>
    <t>Stage</t>
  </si>
  <si>
    <t>DRAFT</t>
  </si>
  <si>
    <t>Initial</t>
  </si>
  <si>
    <t>Release being planned, not yet submitted</t>
  </si>
  <si>
    <t>SUBMITTED</t>
  </si>
  <si>
    <t>Submitted</t>
  </si>
  <si>
    <t>Review</t>
  </si>
  <si>
    <t>Release submitted for review and approval</t>
  </si>
  <si>
    <t>PENDING_CAB</t>
  </si>
  <si>
    <t>Awaiting Change Advisory Board review</t>
  </si>
  <si>
    <t>APPROVED</t>
  </si>
  <si>
    <t>All approvals obtained, ready to proceed</t>
  </si>
  <si>
    <t>IN_PROGRESS</t>
  </si>
  <si>
    <t>Release deployment actively underway</t>
  </si>
  <si>
    <t>BLOCKED</t>
  </si>
  <si>
    <t>Hold</t>
  </si>
  <si>
    <t>Release halted due to dependency or issue</t>
  </si>
  <si>
    <t>ON_HOLD</t>
  </si>
  <si>
    <t>Temporarily paused for business reasons</t>
  </si>
  <si>
    <t>COMPLETED</t>
  </si>
  <si>
    <t>Completed</t>
  </si>
  <si>
    <t>Closed</t>
  </si>
  <si>
    <t>Release successfully deployed</t>
  </si>
  <si>
    <t>FAILED</t>
  </si>
  <si>
    <t>Failed</t>
  </si>
  <si>
    <t>Release deployment failed, rollback executed</t>
  </si>
  <si>
    <t>7. RISK SCORE THRESHOLDS</t>
  </si>
  <si>
    <t>Color Code</t>
  </si>
  <si>
    <t>Action Required</t>
  </si>
  <si>
    <t>Approval Level</t>
  </si>
  <si>
    <t>#00B050</t>
  </si>
  <si>
    <t>Standard process</t>
  </si>
  <si>
    <t>#FFC000</t>
  </si>
  <si>
    <t>Release Manager + Tech Lead</t>
  </si>
  <si>
    <t>#FF6600</t>
  </si>
  <si>
    <t>Risk mitigation plan required</t>
  </si>
  <si>
    <t>Director Approval</t>
  </si>
  <si>
    <t>#FF0000</t>
  </si>
  <si>
    <t>Executive review, CAB escalation</t>
  </si>
  <si>
    <t>VP/CIO Approval</t>
  </si>
  <si>
    <t>#7030A0</t>
  </si>
  <si>
    <t>Consider postponement</t>
  </si>
  <si>
    <t>Emergency CAB</t>
  </si>
  <si>
    <t>8. APPROVAL TYPES &amp; WORKFLOW</t>
  </si>
  <si>
    <t>SLA (Hours)</t>
  </si>
  <si>
    <t>Sequence</t>
  </si>
  <si>
    <t>Technical Review</t>
  </si>
  <si>
    <t>TECH</t>
  </si>
  <si>
    <t>Tech Lead / Architect</t>
  </si>
  <si>
    <t>SEC</t>
  </si>
  <si>
    <t>BIZ</t>
  </si>
  <si>
    <t>Business Owner</t>
  </si>
  <si>
    <t>QA Sign-off</t>
  </si>
  <si>
    <t>CAB Review</t>
  </si>
  <si>
    <t>CAB</t>
  </si>
  <si>
    <t>Change Advisory Board</t>
  </si>
  <si>
    <t>Final Approval</t>
  </si>
  <si>
    <t>FINAL</t>
  </si>
  <si>
    <t>9. DEPENDENCY TYPES</t>
  </si>
  <si>
    <t>HARD</t>
  </si>
  <si>
    <t>Blocking</t>
  </si>
  <si>
    <t>Must be resolved before release can proceed</t>
  </si>
  <si>
    <t>SOFT</t>
  </si>
  <si>
    <t>Advisory</t>
  </si>
  <si>
    <t>Recommended but not mandatory</t>
  </si>
  <si>
    <t>Code or infrastructure dependencies</t>
  </si>
  <si>
    <t>DATA</t>
  </si>
  <si>
    <t>Data migration or sync requirements</t>
  </si>
  <si>
    <t>INTG</t>
  </si>
  <si>
    <t>Variable</t>
  </si>
  <si>
    <t>External system integration points</t>
  </si>
  <si>
    <t>10. DEPENDENCY STATUS</t>
  </si>
  <si>
    <t>Color</t>
  </si>
  <si>
    <t>CLR</t>
  </si>
  <si>
    <t>Dependency resolved, no action needed</t>
  </si>
  <si>
    <t>RISK</t>
  </si>
  <si>
    <t>Potential issue, requires monitoring</t>
  </si>
  <si>
    <t>BLK</t>
  </si>
  <si>
    <t>Active blocker, must be resolved</t>
  </si>
  <si>
    <t>RES</t>
  </si>
  <si>
    <t>#0070C0</t>
  </si>
  <si>
    <t>Previously blocked, now cleared</t>
  </si>
  <si>
    <t>11. LEAVE TYPES</t>
  </si>
  <si>
    <t>Coverage Required</t>
  </si>
  <si>
    <t>AL</t>
  </si>
  <si>
    <t>Low-Medium</t>
  </si>
  <si>
    <t>If key resource, backup needed</t>
  </si>
  <si>
    <t>PL</t>
  </si>
  <si>
    <t>Standard handover</t>
  </si>
  <si>
    <t>SL</t>
  </si>
  <si>
    <t>Emergency coverage protocol</t>
  </si>
  <si>
    <t>CONF</t>
  </si>
  <si>
    <t>Planned, backup assigned</t>
  </si>
  <si>
    <t>TRN</t>
  </si>
  <si>
    <t>Planned, limited availability</t>
  </si>
  <si>
    <t>12. USER ROLES &amp; PERMISSIONS</t>
  </si>
  <si>
    <t>Create Release</t>
  </si>
  <si>
    <t>Approve</t>
  </si>
  <si>
    <t>Super Admin</t>
  </si>
  <si>
    <t>SADM</t>
  </si>
  <si>
    <t>Yes</t>
  </si>
  <si>
    <t>RELMGR</t>
  </si>
  <si>
    <t>DEVMGR</t>
  </si>
  <si>
    <t>QALEAD</t>
  </si>
  <si>
    <t>TLEAD</t>
  </si>
  <si>
    <t>BA</t>
  </si>
  <si>
    <t>Developer</t>
  </si>
  <si>
    <t>Tester</t>
  </si>
  <si>
    <t>Viewer</t>
  </si>
  <si>
    <t>VIEW</t>
  </si>
  <si>
    <t>CAB Member</t>
  </si>
  <si>
    <t>13. DRIFT CATEGORIES</t>
  </si>
  <si>
    <t>INFRA</t>
  </si>
  <si>
    <t>Server, network, or hardware drift</t>
  </si>
  <si>
    <t>CONFIG</t>
  </si>
  <si>
    <t>Application or system settings drift</t>
  </si>
  <si>
    <t>Database schema or data inconsistency</t>
  </si>
  <si>
    <t>API or interface version mismatch</t>
  </si>
  <si>
    <t>Security patch or certificate drift</t>
  </si>
  <si>
    <t>CODE</t>
  </si>
  <si>
    <t>Unauthorized code changes</t>
  </si>
  <si>
    <t>14. CHANGE FREEZE PERIODS</t>
  </si>
  <si>
    <t>Duration</t>
  </si>
  <si>
    <t>Timing</t>
  </si>
  <si>
    <t>Exceptions</t>
  </si>
  <si>
    <t>Mandatory</t>
  </si>
  <si>
    <t>19 days</t>
  </si>
  <si>
    <t>Dec 13 - Dec 31</t>
  </si>
  <si>
    <t>P1 emergencies only</t>
  </si>
  <si>
    <t>Q1 Quarter-End</t>
  </si>
  <si>
    <t>Mar 29 - Mar 31</t>
  </si>
  <si>
    <t>Pre-approved only</t>
  </si>
  <si>
    <t>Q2 Quarter-End</t>
  </si>
  <si>
    <t>Jun 28 - Jun 30</t>
  </si>
  <si>
    <t>Q3 Quarter-End</t>
  </si>
  <si>
    <t>Sep 28 - Sep 30</t>
  </si>
  <si>
    <t>Major Events</t>
  </si>
  <si>
    <t>As defined</t>
  </si>
  <si>
    <t>Board meetings, audits</t>
  </si>
  <si>
    <t>Emergency only</t>
  </si>
  <si>
    <t>Holiday Periods</t>
  </si>
  <si>
    <t>Public holidays</t>
  </si>
  <si>
    <t>Minimal changes</t>
  </si>
  <si>
    <t>15. RISK FACTOR WEIGHTS BY CATEGORY</t>
  </si>
  <si>
    <t># Factors</t>
  </si>
  <si>
    <t>Key Factors</t>
  </si>
  <si>
    <t>New Tech Stack, Code Complexity, DB Changes</t>
  </si>
  <si>
    <t>Test Coverage, Env Parity, Automation</t>
  </si>
  <si>
    <t>Vulnerabilities, Pen Test, Compliance Gate</t>
  </si>
  <si>
    <t>Migration Required, Scripts Tested, Backup</t>
  </si>
  <si>
    <t>Team Availability, Overlapping Releases</t>
  </si>
  <si>
    <t>Environment &amp; Dependencies</t>
  </si>
  <si>
    <t>Upstream/Downstream, Feature Flags</t>
  </si>
  <si>
    <t>Rollback Time, Runbook, Automation Level</t>
  </si>
  <si>
    <t>Load Test, Performance Regression</t>
  </si>
  <si>
    <t>Past Failures, MTBR, MTBF</t>
  </si>
  <si>
    <t>Revenue Impact, User Blast Radius</t>
  </si>
  <si>
    <t>Full weighted risk assessment</t>
  </si>
  <si>
    <t>16. SHARED ENVIRONMENTS</t>
  </si>
  <si>
    <t>Max Concurrent</t>
  </si>
  <si>
    <t>Contention Level</t>
  </si>
  <si>
    <t>UAT-Shared-1</t>
  </si>
  <si>
    <t>Finance, HR, Legal</t>
  </si>
  <si>
    <t>2 teams</t>
  </si>
  <si>
    <t>UAT-Shared-2</t>
  </si>
  <si>
    <t>Test-Integration</t>
  </si>
  <si>
    <t>3 teams</t>
  </si>
  <si>
    <t>Pre-Prod-Core</t>
  </si>
  <si>
    <t>Finance, Manufacturing</t>
  </si>
  <si>
    <t>1 team</t>
  </si>
  <si>
    <t>DR-Test</t>
  </si>
  <si>
    <t>Performance Lab</t>
  </si>
  <si>
    <t>IT, CRM, Manufacturing</t>
  </si>
  <si>
    <t>Security Scan</t>
  </si>
  <si>
    <t>Finance, HR</t>
  </si>
  <si>
    <t>17. INTEGRATION TYPES</t>
  </si>
  <si>
    <t>Latency Req</t>
  </si>
  <si>
    <t>Real-Time API</t>
  </si>
  <si>
    <t>RT-API</t>
  </si>
  <si>
    <t>&lt; 100ms</t>
  </si>
  <si>
    <t>Synchronous REST/SOAP calls</t>
  </si>
  <si>
    <t>Batch File</t>
  </si>
  <si>
    <t>BATCH</t>
  </si>
  <si>
    <t>Nightly or scheduled file transfers</t>
  </si>
  <si>
    <t>Message Queue</t>
  </si>
  <si>
    <t>MQ</t>
  </si>
  <si>
    <t>&lt; 1 sec</t>
  </si>
  <si>
    <t>Asynchronous messaging (Kafka, MQ)</t>
  </si>
  <si>
    <t>Database Link</t>
  </si>
  <si>
    <t>DBLINK</t>
  </si>
  <si>
    <t>&lt; 500ms</t>
  </si>
  <si>
    <t>Direct database connections</t>
  </si>
  <si>
    <t>Event Stream</t>
  </si>
  <si>
    <t>EVENT</t>
  </si>
  <si>
    <t>Near real-time</t>
  </si>
  <si>
    <t>Event-driven architecture</t>
  </si>
  <si>
    <t>Middleware</t>
  </si>
  <si>
    <t>MW</t>
  </si>
  <si>
    <t>ESB or integration platform</t>
  </si>
  <si>
    <t>Manual</t>
  </si>
  <si>
    <t>MANUAL</t>
  </si>
  <si>
    <t>N/A</t>
  </si>
  <si>
    <t>Human-initiated data entry</t>
  </si>
  <si>
    <t>18. RISK LIKELIHOOD SCALE</t>
  </si>
  <si>
    <t>Score</t>
  </si>
  <si>
    <t>Probability</t>
  </si>
  <si>
    <t>&lt; 5%</t>
  </si>
  <si>
    <t>Unlikely to occur in normal circumstances</t>
  </si>
  <si>
    <t>5-25%</t>
  </si>
  <si>
    <t>Could occur but not expected</t>
  </si>
  <si>
    <t>25-50%</t>
  </si>
  <si>
    <t>May occur at some time</t>
  </si>
  <si>
    <t>50-75%</t>
  </si>
  <si>
    <t>Will probably occur</t>
  </si>
  <si>
    <t>&gt; 75%</t>
  </si>
  <si>
    <t>Expected to occur in most circumstances</t>
  </si>
  <si>
    <t>19. RISK IMPACT SCALE</t>
  </si>
  <si>
    <t>Business Impact</t>
  </si>
  <si>
    <t>&lt; $10K</t>
  </si>
  <si>
    <t>Minor inconvenience, no service impact</t>
  </si>
  <si>
    <t>$10K-$100K</t>
  </si>
  <si>
    <t>Limited impact, workarounds available</t>
  </si>
  <si>
    <t>$100K-$500K</t>
  </si>
  <si>
    <t>Significant impact, degraded service</t>
  </si>
  <si>
    <t>$500K-$1M</t>
  </si>
  <si>
    <t>Major disruption, critical functions affected</t>
  </si>
  <si>
    <t>Catastrophic</t>
  </si>
  <si>
    <t>&gt; $1M</t>
  </si>
  <si>
    <t>Complete service failure, regulatory breach</t>
  </si>
  <si>
    <t>20. APPLICATION CATEGORIES</t>
  </si>
  <si>
    <t>Tier</t>
  </si>
  <si>
    <t>Criticality</t>
  </si>
  <si>
    <t>Example Applications</t>
  </si>
  <si>
    <t>Tier 1</t>
  </si>
  <si>
    <t>Mission Critical</t>
  </si>
  <si>
    <t>SAP S/4HANA, Oracle EBS</t>
  </si>
  <si>
    <t>Financial Systems</t>
  </si>
  <si>
    <t>Treasury, Tax, Revenue Recognition</t>
  </si>
  <si>
    <t>Customer Facing</t>
  </si>
  <si>
    <t>CRM, E-commerce, Portal</t>
  </si>
  <si>
    <t>Manufacturing/Operations</t>
  </si>
  <si>
    <t>Tier 2</t>
  </si>
  <si>
    <t>MES, WMS, Supply Chain</t>
  </si>
  <si>
    <t>HR Systems</t>
  </si>
  <si>
    <t>HCM, Payroll, Recruiting</t>
  </si>
  <si>
    <t>Security/Compliance</t>
  </si>
  <si>
    <t>IAM, SIEM, GRC</t>
  </si>
  <si>
    <t>Analytics/Reporting</t>
  </si>
  <si>
    <t>Tier 3</t>
  </si>
  <si>
    <t>BI Tools, Data Warehouse</t>
  </si>
  <si>
    <t>Collaboration</t>
  </si>
  <si>
    <t>Email, Messaging, Document Mgmt</t>
  </si>
  <si>
    <t>Development Tools</t>
  </si>
  <si>
    <t>CI/CD, Repositories, IDEs</t>
  </si>
  <si>
    <t>21. NOTIFICATION TYPES</t>
  </si>
  <si>
    <t>Trigger</t>
  </si>
  <si>
    <t>Recipients</t>
  </si>
  <si>
    <t>Channel</t>
  </si>
  <si>
    <t>Release Submitted</t>
  </si>
  <si>
    <t>New release created</t>
  </si>
  <si>
    <t>Tech Lead, QA Lead</t>
  </si>
  <si>
    <t>Email, Teams</t>
  </si>
  <si>
    <t>Approval Required</t>
  </si>
  <si>
    <t>Review stage reached</t>
  </si>
  <si>
    <t>Designated approver</t>
  </si>
  <si>
    <t>CAB Scheduled</t>
  </si>
  <si>
    <t>CAB meeting set</t>
  </si>
  <si>
    <t>All stakeholders</t>
  </si>
  <si>
    <t>Email, Calendar</t>
  </si>
  <si>
    <t>Go-Live Alert</t>
  </si>
  <si>
    <t>24h before deployment</t>
  </si>
  <si>
    <t>All teams</t>
  </si>
  <si>
    <t>Email, SMS, Teams</t>
  </si>
  <si>
    <t>Deployment Started</t>
  </si>
  <si>
    <t>Release begins</t>
  </si>
  <si>
    <t>Operations, Support</t>
  </si>
  <si>
    <t>Teams, Slack</t>
  </si>
  <si>
    <t>Deployment Complete</t>
  </si>
  <si>
    <t>Release finished</t>
  </si>
  <si>
    <t>Rollback Initiated</t>
  </si>
  <si>
    <t>Failure detected</t>
  </si>
  <si>
    <t>All teams, Management</t>
  </si>
  <si>
    <t>Email, SMS, Phone</t>
  </si>
  <si>
    <t>22. TESTING PHASES &amp; GATES</t>
  </si>
  <si>
    <t>Phase</t>
  </si>
  <si>
    <t>Entry Criteria</t>
  </si>
  <si>
    <t>Exit Criteria</t>
  </si>
  <si>
    <t>Sign-off Required</t>
  </si>
  <si>
    <t>Unit Testing</t>
  </si>
  <si>
    <t>Code complete</t>
  </si>
  <si>
    <t>&gt; 80% coverage</t>
  </si>
  <si>
    <t>Integration Test</t>
  </si>
  <si>
    <t>Unit tests pass</t>
  </si>
  <si>
    <t>All APIs verified</t>
  </si>
  <si>
    <t>System Test</t>
  </si>
  <si>
    <t>Integration complete</t>
  </si>
  <si>
    <t>End-to-end scenarios pass</t>
  </si>
  <si>
    <t>Performance Test</t>
  </si>
  <si>
    <t>TEST/PERF</t>
  </si>
  <si>
    <t>System test pass</t>
  </si>
  <si>
    <t>Meet SLA benchmarks</t>
  </si>
  <si>
    <t>Performance Team</t>
  </si>
  <si>
    <t>Security Test</t>
  </si>
  <si>
    <t>Code freeze</t>
  </si>
  <si>
    <t>No critical vulnerabilities</t>
  </si>
  <si>
    <t>Business sign-off</t>
  </si>
  <si>
    <t>Pre-Prod Validation</t>
  </si>
  <si>
    <t>UAT complete</t>
  </si>
  <si>
    <t>Prod-mirror verified</t>
  </si>
  <si>
    <t>Go/No-Go</t>
  </si>
  <si>
    <t>All gates passed</t>
  </si>
  <si>
    <t>Final approval</t>
  </si>
  <si>
    <t>23. DEPLOYMENT WINDOWS</t>
  </si>
  <si>
    <t>Window</t>
  </si>
  <si>
    <t>Time (Local)</t>
  </si>
  <si>
    <t>Suitable For</t>
  </si>
  <si>
    <t>Tue-Thu</t>
  </si>
  <si>
    <t>02:00 - 06:00</t>
  </si>
  <si>
    <t>Medium/Low risk releases</t>
  </si>
  <si>
    <t>Extended</t>
  </si>
  <si>
    <t>Saturday</t>
  </si>
  <si>
    <t>00:00 - 08:00</t>
  </si>
  <si>
    <t>8 hours</t>
  </si>
  <si>
    <t>Large releases, migrations</t>
  </si>
  <si>
    <t>Emergency</t>
  </si>
  <si>
    <t>Any</t>
  </si>
  <si>
    <t>As needed</t>
  </si>
  <si>
    <t>Minimal</t>
  </si>
  <si>
    <t>P1 hotfixes only</t>
  </si>
  <si>
    <t>Maintenance</t>
  </si>
  <si>
    <t>Sunday</t>
  </si>
  <si>
    <t>Infra, patching</t>
  </si>
  <si>
    <t>Mon-Fri</t>
  </si>
  <si>
    <t>10:00 - 16:00</t>
  </si>
  <si>
    <t>Low risk, no downtime</t>
  </si>
  <si>
    <t>22:00 - 02:00</t>
  </si>
  <si>
    <t>Regional releases</t>
  </si>
  <si>
    <t>Quarterly Major</t>
  </si>
  <si>
    <t>00:00 - 12:00</t>
  </si>
  <si>
    <t>12 hours</t>
  </si>
  <si>
    <t>Major upgrades</t>
  </si>
  <si>
    <t>24. SLA METRICS &amp; TARGETS</t>
  </si>
  <si>
    <t>Target</t>
  </si>
  <si>
    <t>Warning</t>
  </si>
  <si>
    <t>Measurement</t>
  </si>
  <si>
    <t>Release Success Rate</t>
  </si>
  <si>
    <t>&gt; 95%</t>
  </si>
  <si>
    <t>90-95%</t>
  </si>
  <si>
    <t>&lt; 90%</t>
  </si>
  <si>
    <t>Monthly</t>
  </si>
  <si>
    <t>Mean Time to Deploy</t>
  </si>
  <si>
    <t>&lt; 4 hours</t>
  </si>
  <si>
    <t>4-6 hours</t>
  </si>
  <si>
    <t>&gt; 6 hours</t>
  </si>
  <si>
    <t>Per release</t>
  </si>
  <si>
    <t>Rollback Rate</t>
  </si>
  <si>
    <t>5-10%</t>
  </si>
  <si>
    <t>&gt; 10%</t>
  </si>
  <si>
    <t>CAB Approval Time</t>
  </si>
  <si>
    <t>&lt; 48 hours</t>
  </si>
  <si>
    <t>48-72 hours</t>
  </si>
  <si>
    <t>&gt; 72 hours</t>
  </si>
  <si>
    <t>Environment Availability</t>
  </si>
  <si>
    <t>&gt; 99%</t>
  </si>
  <si>
    <t>95-99%</t>
  </si>
  <si>
    <t>&lt; 95%</t>
  </si>
  <si>
    <t>Weekly</t>
  </si>
  <si>
    <t>Test Pass Rate</t>
  </si>
  <si>
    <t>&gt; 98%</t>
  </si>
  <si>
    <t>95-98%</t>
  </si>
  <si>
    <t>Change Lead Time</t>
  </si>
  <si>
    <t>14-21 days</t>
  </si>
  <si>
    <t>&gt; 21 days</t>
  </si>
  <si>
    <t>Incident Rate Post-Deploy</t>
  </si>
  <si>
    <t>&lt; 2%</t>
  </si>
  <si>
    <t>2-5%</t>
  </si>
  <si>
    <t>&gt; 5%</t>
  </si>
  <si>
    <t>7 days post</t>
  </si>
  <si>
    <t>95-100%</t>
  </si>
  <si>
    <t>Stakeholder Satisfaction</t>
  </si>
  <si>
    <t>&gt; 4.0/5</t>
  </si>
  <si>
    <t>3.5-4.0</t>
  </si>
  <si>
    <t>&lt; 3.5</t>
  </si>
  <si>
    <t>Quarterly survey</t>
  </si>
  <si>
    <t>RELEASE DESK - REFERENCE DATA CATALOG</t>
  </si>
  <si>
    <t>Consolidated lookup tables, status codes, thresholds, and configuration data</t>
  </si>
  <si>
    <t>Version 1.0 | Generated: June 2026</t>
  </si>
  <si>
    <t>TABLE OF CONTENTS</t>
  </si>
  <si>
    <t>Section</t>
  </si>
  <si>
    <t>Row</t>
  </si>
  <si>
    <t>Environments</t>
  </si>
  <si>
    <t>Release Sizes</t>
  </si>
  <si>
    <t>Impact Levels</t>
  </si>
  <si>
    <t>Priority Levels</t>
  </si>
  <si>
    <t>Release Status Codes</t>
  </si>
  <si>
    <t>Risk Score Thresholds</t>
  </si>
  <si>
    <t>Approval Types &amp; Workflow</t>
  </si>
  <si>
    <t>Dependency Types</t>
  </si>
  <si>
    <t>Dependency Status</t>
  </si>
  <si>
    <t>Leave Types</t>
  </si>
  <si>
    <t>User Roles &amp; Permissions</t>
  </si>
  <si>
    <t>Drift Categories</t>
  </si>
  <si>
    <t>Change Freeze Periods</t>
  </si>
  <si>
    <t>Risk Factor Weights by Category</t>
  </si>
  <si>
    <t>Shared Environments</t>
  </si>
  <si>
    <t>Integration Types</t>
  </si>
  <si>
    <t>Risk Likelihood Scale</t>
  </si>
  <si>
    <t>Risk Impact Scale</t>
  </si>
  <si>
    <t>Application Categories</t>
  </si>
  <si>
    <t>Notification Types</t>
  </si>
  <si>
    <t>Testing Phases &amp; Gates</t>
  </si>
  <si>
    <t>Deployment Windows</t>
  </si>
  <si>
    <t>SLA Metrics &amp; Targets</t>
  </si>
  <si>
    <t>WORKBOOK STATISTICS</t>
  </si>
  <si>
    <t>Source</t>
  </si>
  <si>
    <t>Total Departments</t>
  </si>
  <si>
    <t>Applications sheet</t>
  </si>
  <si>
    <t>Total Applications</t>
  </si>
  <si>
    <t>Releases sheet</t>
  </si>
  <si>
    <t>Total Users</t>
  </si>
  <si>
    <t>100+</t>
  </si>
  <si>
    <t>Users, Release Managers, Super Admins</t>
  </si>
  <si>
    <t>44-46</t>
  </si>
  <si>
    <t>Risk Factors sheet</t>
  </si>
  <si>
    <t>Dept Code</t>
  </si>
  <si>
    <t>Dept Name</t>
  </si>
  <si>
    <t>FIN</t>
  </si>
  <si>
    <t>LOG</t>
  </si>
  <si>
    <t>MFG</t>
  </si>
  <si>
    <t>LEG</t>
  </si>
  <si>
    <t>Env Name</t>
  </si>
  <si>
    <t>Developer sandbox environment</t>
  </si>
  <si>
    <t>QA and integration testing</t>
  </si>
  <si>
    <t>Business validation environment</t>
  </si>
  <si>
    <t>Production mirror for final validation</t>
  </si>
  <si>
    <t>Live production environment</t>
  </si>
  <si>
    <t>Bug fixes, minor UI changes</t>
  </si>
  <si>
    <t>Feature enhancements, integrations</t>
  </si>
  <si>
    <t>Major releases, platform upgrades</t>
  </si>
  <si>
    <t>Critical business impact</t>
  </si>
  <si>
    <t>Core ERP, Payment Systems</t>
  </si>
  <si>
    <t>Reporting, Secondary CRM</t>
  </si>
  <si>
    <t>CANCELLED</t>
  </si>
  <si>
    <t>Cancelled</t>
  </si>
  <si>
    <t>Release cancelled before deployment</t>
  </si>
  <si>
    <t>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</t>
  </si>
  <si>
    <t>RELEASEDESK - SAMPLE DATA SPECIFICATION FOR PROTOTYPE BUILDER</t>
  </si>
  <si>
    <t>DOCUMENT PURPOSE</t>
  </si>
  <si>
    <t>This workbook provides structured sample/seed data for a Release Management System prototype.</t>
  </si>
  <si>
    <t>It is designed to be parsed and interpreted by an AI/Machine that generates wireframes and UI prototypes.</t>
  </si>
  <si>
    <t>Each sheet represents a distinct data entity with defined schemas, relationships, and business rules.</t>
  </si>
  <si>
    <t>HOW TO USE THIS DOCUMENT</t>
  </si>
  <si>
    <t>1. Start with this README to understand the data model and relationships</t>
  </si>
  <si>
    <t>2. Reference the 'Reference Data' sheet for all lookup values, status codes, and enumeration tables</t>
  </si>
  <si>
    <t>3. Each data sheet has a defined schema (column headers in Row 1 or as specified)</t>
  </si>
  <si>
    <t>4. Foreign keys (FK) link entities - always validate relationships exist</t>
  </si>
  <si>
    <t>5. Business rules and validation logic are documented per entity below</t>
  </si>
  <si>
    <t>SECTION 1: WORKBOOK OVERVIEW &amp; STATISTICS</t>
  </si>
  <si>
    <t>ENTITY COUNTS (for prototype sizing)</t>
  </si>
  <si>
    <t>Entity</t>
  </si>
  <si>
    <t>Primary Key</t>
  </si>
  <si>
    <t>Source Sheet</t>
  </si>
  <si>
    <t>DEPT-##</t>
  </si>
  <si>
    <t>Reference Data (Row 40)</t>
  </si>
  <si>
    <t>Composite (Dept+App)</t>
  </si>
  <si>
    <t>Environment Instances</t>
  </si>
  <si>
    <t>Composite (App+Env)</t>
  </si>
  <si>
    <t>Applications (84 apps × 6 envs)</t>
  </si>
  <si>
    <t>USR-###</t>
  </si>
  <si>
    <t>Release Managers</t>
  </si>
  <si>
    <t>RM-###</t>
  </si>
  <si>
    <t>SA-###</t>
  </si>
  <si>
    <t>REL-####</t>
  </si>
  <si>
    <t>Environment Bookings</t>
  </si>
  <si>
    <t>80+</t>
  </si>
  <si>
    <t>ENV-####</t>
  </si>
  <si>
    <t>Calendar Events</t>
  </si>
  <si>
    <t>Row-based</t>
  </si>
  <si>
    <t>Risk Records</t>
  </si>
  <si>
    <t>RSK-###</t>
  </si>
  <si>
    <t>DFT-###</t>
  </si>
  <si>
    <t>DEP-###</t>
  </si>
  <si>
    <t>APR-###</t>
  </si>
  <si>
    <t>Leave Records</t>
  </si>
  <si>
    <t>LV-###</t>
  </si>
  <si>
    <t>Version Records</t>
  </si>
  <si>
    <t>APP-###</t>
  </si>
  <si>
    <t>Category+Factor</t>
  </si>
  <si>
    <t>TIME SPAN</t>
  </si>
  <si>
    <t>Release Calendar Period: July 2026 - June 2027 (12 months)</t>
  </si>
  <si>
    <t>Simulated 'Today' Date: June 25, 2026</t>
  </si>
  <si>
    <t>KEY METRICS FOR PROTOTYPE</t>
  </si>
  <si>
    <t>Conflict Rate: ~32% (26 releases have resource conflicts)</t>
  </si>
  <si>
    <t>Environments per Application: 6 (Dev, Test, UAT, Pre-prod, Prod, DR)</t>
  </si>
  <si>
    <t>Average Releases per Month: 6-7</t>
  </si>
  <si>
    <t>Risk Score Range: 1-25 (Likelihood × Impact)</t>
  </si>
  <si>
    <t>SECTION 2: SHEET INVENTORY &amp; NAVIGATION</t>
  </si>
  <si>
    <t>SHEET INDEX (in logical order)</t>
  </si>
  <si>
    <t>Range</t>
  </si>
  <si>
    <t>Rows</t>
  </si>
  <si>
    <t>UI Screen Suggestion</t>
  </si>
  <si>
    <t>README</t>
  </si>
  <si>
    <t>A1:D300+</t>
  </si>
  <si>
    <t>~300</t>
  </si>
  <si>
    <t>This specification document</t>
  </si>
  <si>
    <t>Help/Documentation page</t>
  </si>
  <si>
    <t>Reference Data</t>
  </si>
  <si>
    <t>A1:F270</t>
  </si>
  <si>
    <t>All lookup tables &amp; enums</t>
  </si>
  <si>
    <t>Admin Settings, Dropdowns</t>
  </si>
  <si>
    <t>A1:F505</t>
  </si>
  <si>
    <t>Master app inventory (84 apps × 6 envs)</t>
  </si>
  <si>
    <t>Application Catalog, Asset List</t>
  </si>
  <si>
    <t>A1:I101</t>
  </si>
  <si>
    <t>100 users across roles</t>
  </si>
  <si>
    <t>User Management, Directory</t>
  </si>
  <si>
    <t>A1:I13</t>
  </si>
  <si>
    <t>12 release managers</t>
  </si>
  <si>
    <t>RM Dashboard, Admin Panel</t>
  </si>
  <si>
    <t>A1:K15</t>
  </si>
  <si>
    <t>12 elevated-privilege admins</t>
  </si>
  <si>
    <t>System Admin Panel</t>
  </si>
  <si>
    <t>A1:AA81</t>
  </si>
  <si>
    <t>80 releases (core transactional data)</t>
  </si>
  <si>
    <t>Release Dashboard, Pipeline View</t>
  </si>
  <si>
    <t>A1:J177</t>
  </si>
  <si>
    <t>166 events (releases, CAB, freezes)</t>
  </si>
  <si>
    <t>Calendar View, Gantt Chart</t>
  </si>
  <si>
    <t>A1:U112</t>
  </si>
  <si>
    <t>Environment scheduling with conflicts</t>
  </si>
  <si>
    <t>Resource Planner, Booking Grid</t>
  </si>
  <si>
    <t>A1:AX147</t>
  </si>
  <si>
    <t>44-46 weighted risk factors + scoring</t>
  </si>
  <si>
    <t>Risk Configuration, Assessment</t>
  </si>
  <si>
    <t>A1:T35</t>
  </si>
  <si>
    <t>31 active risks for upcoming releases</t>
  </si>
  <si>
    <t>Risk Register, Heat Map</t>
  </si>
  <si>
    <t>A1:N11</t>
  </si>
  <si>
    <t>7 environment/config drift issues</t>
  </si>
  <si>
    <t>Drift Dashboard, Remediation Queue</t>
  </si>
  <si>
    <t>A1:I29</t>
  </si>
  <si>
    <t>Dependency Graph, Blocking View</t>
  </si>
  <si>
    <t>A1:L30</t>
  </si>
  <si>
    <t>27 CAB approval workflow records</t>
  </si>
  <si>
    <t>Approval Workflow, CAB Meeting</t>
  </si>
  <si>
    <t>A1:L31</t>
  </si>
  <si>
    <t>30 leave records affecting releases</t>
  </si>
  <si>
    <t>Resource Availability, Leave View</t>
  </si>
  <si>
    <t>A1:J181</t>
  </si>
  <si>
    <t>Version tracking for 30 apps × 6 envs</t>
  </si>
  <si>
    <t>Version Dashboard, Audit Trail</t>
  </si>
  <si>
    <t>A1:K128</t>
  </si>
  <si>
    <t>Integration architecture diagram</t>
  </si>
  <si>
    <t>System Map, Integration View</t>
  </si>
  <si>
    <t>SECTION 3: ENTITY RELATIONSHIPS (DATA MODEL)</t>
  </si>
  <si>
    <t>PRIMARY ENTITIES &amp; FOREIGN KEY RELATIONSHIPS</t>
  </si>
  <si>
    <t>┌─────────────────────┐          ┌─────────────────────┐          ┌─────────────────────┐</t>
  </si>
  <si>
    <t>│     DEPARTMENTS     │◄─────────│    APPLICATIONS     │◄─────────│      RELEASES       │</t>
  </si>
  <si>
    <t>│   (Reference Data)  │   1:M    │  (Applications.xlsx)│   M:1    │   (Releases.xlsx)   │</t>
  </si>
  <si>
    <t>│  PK: Dept Code      │          │  FK: Department     │          │  PK: Release ID     │</t>
  </si>
  <si>
    <t>└─────────────────────┘          │  Composite PK       │          │  FK: Application    │</t>
  </si>
  <si>
    <t xml:space="preserve">                                 └─────────────────────┘          │  FK: Department     │</t>
  </si>
  <si>
    <t xml:space="preserve">                                          │                       │  FK: Release Owner  │</t>
  </si>
  <si>
    <t xml:space="preserve">                                          │ 1:M                   └─────────────────────┘</t>
  </si>
  <si>
    <t xml:space="preserve">                                          ▼                                │</t>
  </si>
  <si>
    <t xml:space="preserve">                                 ┌─────────────────────┐                   │</t>
  </si>
  <si>
    <t xml:space="preserve">                                 │   ENVIRONMENTS      │                   │ 1:M</t>
  </si>
  <si>
    <t xml:space="preserve">                                 │  (6 per Application)│                   │</t>
  </si>
  <si>
    <t xml:space="preserve">                                 │  Dev,Test,UAT,      │                   ▼</t>
  </si>
  <si>
    <t xml:space="preserve">                                 │  Pre-prod,Prod,DR   │          ┌─────────────────────┐</t>
  </si>
  <si>
    <t xml:space="preserve">                                 └─────────────────────┘          │    ENV BOOKING      │</t>
  </si>
  <si>
    <t xml:space="preserve">                                                                  │  (Env booking.xlsx) │</t>
  </si>
  <si>
    <t xml:space="preserve">                                                                  │  FK: Release ID     │</t>
  </si>
  <si>
    <t>┌─────────────────────┐                                           │  FK: Application    │</t>
  </si>
  <si>
    <t>│       USERS         │◄──────────────────────────────────────────│  Conflict flags     │</t>
  </si>
  <si>
    <t>│   (Users.xlsx)      │   M:M (Stakeholders)                      └─────────────────────┘</t>
  </si>
  <si>
    <t>│  PK: User ID        │</t>
  </si>
  <si>
    <t>│  FK: Department     │◄──────────────────────────────────────────┐</t>
  </si>
  <si>
    <t>└─────────────────────┘   FK: Release Owner ID                    │</t>
  </si>
  <si>
    <t xml:space="preserve">         │                                                        │</t>
  </si>
  <si>
    <t xml:space="preserve">         │ 1:M                                                    │</t>
  </si>
  <si>
    <t xml:space="preserve">         ▼                                                        │</t>
  </si>
  <si>
    <t>┌─────────────────────┐     ┌─────────────────────┐     ┌─────────────────────┐</t>
  </si>
  <si>
    <t>│   LEAVE CALENDAR    │     │       RISK          │     │    DEPENDENCIES     │</t>
  </si>
  <si>
    <t>│ (Leave Calendar.xlsx)│     │   (Risk.xlsx)       │     │ (Dependencies.xlsx) │</t>
  </si>
  <si>
    <t>│  FK: User ID        │     │  FK: Release ID     │     │  FK: Release ID     │</t>
  </si>
  <si>
    <t>│  FK: Affected Release│     │  FK: Risk Owner ID  │     │  FK: Depends On ID  │</t>
  </si>
  <si>
    <t>└─────────────────────┘     └─────────────────────┘     └─────────────────────┘</t>
  </si>
  <si>
    <t xml:space="preserve">                       ┌─────────────────────┐     ┌─────────────────────┐</t>
  </si>
  <si>
    <t xml:space="preserve">                       │       DRIFT         │     │     APPROVALS       │</t>
  </si>
  <si>
    <t xml:space="preserve">                       │   (Drift.xlsx)      │     │  (Approvals.xlsx)   │</t>
  </si>
  <si>
    <t xml:space="preserve">                       │  FK: Release ID     │     │  FK: Release ID     │</t>
  </si>
  <si>
    <t xml:space="preserve">                       │  FK: Application    │     │  FK: Approver ID    │</t>
  </si>
  <si>
    <t xml:space="preserve">                       └─────────────────────┘     └─────────────────────┘</t>
  </si>
  <si>
    <t>FOREIGN KEY REFERENCE TABLE</t>
  </si>
  <si>
    <t>Source Column</t>
  </si>
  <si>
    <t>Target Sheet</t>
  </si>
  <si>
    <t>Target Column</t>
  </si>
  <si>
    <t>Cardinality</t>
  </si>
  <si>
    <t>Dept Code (Row 40)</t>
  </si>
  <si>
    <t>M:1</t>
  </si>
  <si>
    <t>Must be valid dept</t>
  </si>
  <si>
    <t>Application (Col B)</t>
  </si>
  <si>
    <t>Must exist in Apps</t>
  </si>
  <si>
    <t>User ID (Col A)</t>
  </si>
  <si>
    <t>Must be valid user</t>
  </si>
  <si>
    <t>M:M</t>
  </si>
  <si>
    <t>Comma-separated list</t>
  </si>
  <si>
    <t>Release ID (Col A)</t>
  </si>
  <si>
    <t>Self-referential</t>
  </si>
  <si>
    <t>8 valid departments</t>
  </si>
  <si>
    <t>Env Code (Row 52)</t>
  </si>
  <si>
    <t>6 valid environments</t>
  </si>
  <si>
    <t>Each release has booking</t>
  </si>
  <si>
    <t>Release must exist</t>
  </si>
  <si>
    <t>Owner must exist</t>
  </si>
  <si>
    <t>Parent release</t>
  </si>
  <si>
    <t>Child release</t>
  </si>
  <si>
    <t>Approver must exist</t>
  </si>
  <si>
    <t>User must exist</t>
  </si>
  <si>
    <t>Optional, can be blank</t>
  </si>
  <si>
    <t>For release events only</t>
  </si>
  <si>
    <t>SECTION 4: DETAILED SCHEMA DOCUMENTATION</t>
  </si>
  <si>
    <t>Each sheet's schema is documented below with column definitions, data types, and validation rules.</t>
  </si>
  <si>
    <t>Data Types: TEXT (string), INT (integer), DATE (YYYY-MM-DD), DECIMAL, ENUM (lookup), FK (foreign key), BOOL (Y/N)</t>
  </si>
  <si>
    <t>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</t>
  </si>
  <si>
    <t>SHEET: Applications | Range: A1:F505 | Records: 504 (84 applications × 6 environments)</t>
  </si>
  <si>
    <t>Header Name</t>
  </si>
  <si>
    <t>Data Type</t>
  </si>
  <si>
    <t>Required</t>
  </si>
  <si>
    <t>Validation/Constraints</t>
  </si>
  <si>
    <t>A</t>
  </si>
  <si>
    <t>ENUM</t>
  </si>
  <si>
    <t>Valid: Finance, Logistics, CRM, Manufacturing, IT, HR, Legal, Security</t>
  </si>
  <si>
    <t>Business unit that owns the application</t>
  </si>
  <si>
    <t>B</t>
  </si>
  <si>
    <t>TEXT</t>
  </si>
  <si>
    <t>Max 100 chars; Must be unique within department</t>
  </si>
  <si>
    <t>Name of the software application</t>
  </si>
  <si>
    <t>C</t>
  </si>
  <si>
    <t>Valid: Dev, Test, UAT, Pre-prod, Prod, DR</t>
  </si>
  <si>
    <t>Environment type (6 per application)</t>
  </si>
  <si>
    <t>D</t>
  </si>
  <si>
    <t>Business owner name</t>
  </si>
  <si>
    <t>Primary business owner (first row per app only)</t>
  </si>
  <si>
    <t>E</t>
  </si>
  <si>
    <t>Technical lead name</t>
  </si>
  <si>
    <t>Technical lead (first row per app only)</t>
  </si>
  <si>
    <t>F</t>
  </si>
  <si>
    <t>Environment-specific owner</t>
  </si>
  <si>
    <t>Person responsible for this specific environment</t>
  </si>
  <si>
    <t>Business Rules:</t>
  </si>
  <si>
    <t>• Each application appears 6 times (once per environment type)</t>
  </si>
  <si>
    <t>• Department value only shown on first row of each application group</t>
  </si>
  <si>
    <t>• Application Owner and Tech Lead only shown on Dev environment row</t>
  </si>
  <si>
    <t>• Env Owner varies by environment type (Dev Mgr, QA Lead, Bus Analyst, Release Mgr, Ops Mgr, Infra Lead)</t>
  </si>
  <si>
    <t>SHEET: Users | Range: A1:I101 | Records: 100 users</t>
  </si>
  <si>
    <t>TEXT (PK)</t>
  </si>
  <si>
    <t>Format: USR-### (001-100)</t>
  </si>
  <si>
    <t>Unique user identifier</t>
  </si>
  <si>
    <t>Full name</t>
  </si>
  <si>
    <t>User's full name</t>
  </si>
  <si>
    <t>Format: name@company.com</t>
  </si>
  <si>
    <t>Corporate email address</t>
  </si>
  <si>
    <t>See Reference Data Row 134</t>
  </si>
  <si>
    <t>Job role (Development Manager, QA Lead, Business Analyst, etc.)</t>
  </si>
  <si>
    <t>User's home department</t>
  </si>
  <si>
    <t>Manager title/name</t>
  </si>
  <si>
    <t>Reporting manager</t>
  </si>
  <si>
    <t>G</t>
  </si>
  <si>
    <t>Admin, Standard, Read-Only, Limited</t>
  </si>
  <si>
    <t>System access permissions</t>
  </si>
  <si>
    <t>Active, Inactive, On Leave</t>
  </si>
  <si>
    <t>Current employment status</t>
  </si>
  <si>
    <t>I</t>
  </si>
  <si>
    <t>DATE</t>
  </si>
  <si>
    <t>YYYY-MM-DD</t>
  </si>
  <si>
    <t>Most recent system login date</t>
  </si>
  <si>
    <t>• User ID is primary key - referenced by Releases (Release Owner ID), Leave Calendar (User ID), Approvals (Approver ID)</t>
  </si>
  <si>
    <t>• Access Level determines what actions user can perform in the system</t>
  </si>
  <si>
    <t>• Status affects whether user can be assigned to releases</t>
  </si>
  <si>
    <t>SHEET: Releases | Range: A1:AA81 | Records: 80 releases | *** CORE TRANSACTIONAL DATA ***</t>
  </si>
  <si>
    <t>Format: REL-#### (0001-0080)</t>
  </si>
  <si>
    <t>Unique release identifier</t>
  </si>
  <si>
    <t>Max 100 chars</t>
  </si>
  <si>
    <t>Descriptive release name</t>
  </si>
  <si>
    <t>ENUM (FK)</t>
  </si>
  <si>
    <t>→ Reference Data Row 40</t>
  </si>
  <si>
    <t>Owning department</t>
  </si>
  <si>
    <t>TEXT (FK)</t>
  </si>
  <si>
    <t>→ Applications.Application</t>
  </si>
  <si>
    <t>Application being released</t>
  </si>
  <si>
    <t>Large, Medium, Small</t>
  </si>
  <si>
    <t>Scope/effort classification</t>
  </si>
  <si>
    <t>High, Medium, Low</t>
  </si>
  <si>
    <t>Business impact level</t>
  </si>
  <si>
    <t>Critical, High, Medium, Low</t>
  </si>
  <si>
    <t>Scheduling priority</t>
  </si>
  <si>
    <t>Change Advisory Board approval date</t>
  </si>
  <si>
    <t>Release work start date</t>
  </si>
  <si>
    <t>J</t>
  </si>
  <si>
    <t>YYYY-MM-DD; &gt;= Start Date</t>
  </si>
  <si>
    <t>Production deployment date</t>
  </si>
  <si>
    <t>K</t>
  </si>
  <si>
    <t>Format: {DEPT}-TEST-##</t>
  </si>
  <si>
    <t>Test environment code</t>
  </si>
  <si>
    <t>Format: {DEPT}-UAT-##</t>
  </si>
  <si>
    <t>UAT environment code</t>
  </si>
  <si>
    <t>See Reference Data Row 81</t>
  </si>
  <si>
    <t>Current release status</t>
  </si>
  <si>
    <t>N</t>
  </si>
  <si>
    <t>BOOL</t>
  </si>
  <si>
    <t>Y/N</t>
  </si>
  <si>
    <t>Indicates resource conflict exists</t>
  </si>
  <si>
    <t>O</t>
  </si>
  <si>
    <t>Free text</t>
  </si>
  <si>
    <t>Additional context or conflict details</t>
  </si>
  <si>
    <t>P</t>
  </si>
  <si>
    <t>DECIMAL</t>
  </si>
  <si>
    <t>0-100; 2 decimal places</t>
  </si>
  <si>
    <t>Overall release readiness percentage</t>
  </si>
  <si>
    <t>Q</t>
  </si>
  <si>
    <t>Current blocking issues</t>
  </si>
  <si>
    <t>R</t>
  </si>
  <si>
    <t>Vendor name or blank</t>
  </si>
  <si>
    <t>If during vendor maintenance window</t>
  </si>
  <si>
    <t>S</t>
  </si>
  <si>
    <t>Freeze period name or blank</t>
  </si>
  <si>
    <t>If during change freeze period</t>
  </si>
  <si>
    <t>T</t>
  </si>
  <si>
    <t>GDPR, SOX, SOC2, or blank</t>
  </si>
  <si>
    <t>Compliance requirement flag</t>
  </si>
  <si>
    <t>U</t>
  </si>
  <si>
    <t>→ Users.User ID (USR-###)</t>
  </si>
  <si>
    <t>Primary release owner</t>
  </si>
  <si>
    <t>V</t>
  </si>
  <si>
    <t>See Reference Data Row 102</t>
  </si>
  <si>
    <t>Workflow status (Draft→Closed)</t>
  </si>
  <si>
    <t>W</t>
  </si>
  <si>
    <t>→ Releases.Release ID</t>
  </si>
  <si>
    <t>Predecessor release ID(s)</t>
  </si>
  <si>
    <t>X</t>
  </si>
  <si>
    <t>Ready, In Progress, Not Started</t>
  </si>
  <si>
    <t>Rollback preparation status</t>
  </si>
  <si>
    <t>Y</t>
  </si>
  <si>
    <t>0-100</t>
  </si>
  <si>
    <t>Deployment checklist completion</t>
  </si>
  <si>
    <t>Z</t>
  </si>
  <si>
    <t>Comma-separated USR-### list</t>
  </si>
  <si>
    <t>Users to notify on updates</t>
  </si>
  <si>
    <t>AA</t>
  </si>
  <si>
    <t>Business Hours, Off-Peak, Weekend</t>
  </si>
  <si>
    <t>Preferred deployment timing</t>
  </si>
  <si>
    <t>• Release ID is primary key - referenced by Env booking, Risk, Drift, Dependencies, Approvals, Calendar</t>
  </si>
  <si>
    <t>• Conflict Flag = 'Y' when Test/UAT periods overlap with another release's booking</t>
  </si>
  <si>
    <t>• CAB Date must be 2-3 days before End Date (Large=3 days, Medium/Small=2 days)</t>
  </si>
  <si>
    <t>• Readiness % should correlate with Approval Status progression</t>
  </si>
  <si>
    <t>• Status flows: Planned → In Progress → Testing → UAT → Pre-Prod → Go/No-Go → Deployed → PIR Complete</t>
  </si>
  <si>
    <t>SHEET: Env booking | Range: A1:U112 | Records: 80+ bookings | *** RESOURCE SCHEDULING ***</t>
  </si>
  <si>
    <t>Format: ENV-#### (0001+)</t>
  </si>
  <si>
    <t>Unique booking identifier</t>
  </si>
  <si>
    <t>Associated release</t>
  </si>
  <si>
    <t>Application being tested</t>
  </si>
  <si>
    <t>Determines phase durations</t>
  </si>
  <si>
    <t>Target production date</t>
  </si>
  <si>
    <t>CAB approval date</t>
  </si>
  <si>
    <t>Assigned test environment</t>
  </si>
  <si>
    <t>Test phase start</t>
  </si>
  <si>
    <t>YYYY-MM-DD; &gt;= Test Start</t>
  </si>
  <si>
    <t>Test phase end</t>
  </si>
  <si>
    <t>INT</t>
  </si>
  <si>
    <t>Calculated: Test End - Test Start + 1</t>
  </si>
  <si>
    <t>Test phase duration</t>
  </si>
  <si>
    <t>Assigned UAT environment</t>
  </si>
  <si>
    <t>YYYY-MM-DD; &gt;= Test End</t>
  </si>
  <si>
    <t>UAT phase start</t>
  </si>
  <si>
    <t>YYYY-MM-DD; &gt;= UAT Start</t>
  </si>
  <si>
    <t>UAT phase end</t>
  </si>
  <si>
    <t>Calculated: UAT End - UAT Start + 1</t>
  </si>
  <si>
    <t>UAT phase duration</t>
  </si>
  <si>
    <t>Format: {DEPT}-PREPROD-##</t>
  </si>
  <si>
    <t>Assigned pre-prod environment</t>
  </si>
  <si>
    <t>YYYY-MM-DD; &gt;= UAT End</t>
  </si>
  <si>
    <t>Pre-prod phase start</t>
  </si>
  <si>
    <t>YYYY-MM-DD; &lt;= CAB Date</t>
  </si>
  <si>
    <t>Pre-prod phase end</t>
  </si>
  <si>
    <t>Calculated: Pre-Prod End - Pre-Prod Start + 1</t>
  </si>
  <si>
    <t>Pre-prod phase duration</t>
  </si>
  <si>
    <t>TRUE if overlaps with another booking</t>
  </si>
  <si>
    <t>Conflict details or special instructions</t>
  </si>
  <si>
    <t>Phase Duration Rules (by Release Size):</t>
  </si>
  <si>
    <t>2 days before prod</t>
  </si>
  <si>
    <t>3 days before prod</t>
  </si>
  <si>
    <t>Conflict Detection Logic:</t>
  </si>
  <si>
    <t>• Conflict exists when two releases from SAME DEPARTMENT have overlapping Test, UAT, or Pre-Prod periods</t>
  </si>
  <si>
    <t>• ~32% of releases (26 out of 80) have been intentionally scheduled with conflicts</t>
  </si>
  <si>
    <t>• Conflict resolution requires Release Manager intervention: reschedule, negotiate, or expand capacity</t>
  </si>
  <si>
    <t>SHEET: Risk | Range: A1:T35 | Records: 31 risks | Header Row: 4</t>
  </si>
  <si>
    <t>Format: RSK-###</t>
  </si>
  <si>
    <t>Unique risk identifier</t>
  </si>
  <si>
    <t>Denormalized from Releases</t>
  </si>
  <si>
    <t>Release name for readability</t>
  </si>
  <si>
    <t>Calculated: Prod Date - Today</t>
  </si>
  <si>
    <t>Days until production</t>
  </si>
  <si>
    <t>16 categories (see Reference Data)</t>
  </si>
  <si>
    <t>Risk classification</t>
  </si>
  <si>
    <t>Max 500 chars</t>
  </si>
  <si>
    <t>Detailed risk description</t>
  </si>
  <si>
    <t>1-5 (1=Rare, 5=Almost Certain)</t>
  </si>
  <si>
    <t>Probability of occurrence</t>
  </si>
  <si>
    <t>1-5 (1=Negligible, 5=Severe)</t>
  </si>
  <si>
    <t>Business impact severity</t>
  </si>
  <si>
    <t>Calculated: Likelihood × Impact (1-25)</t>
  </si>
  <si>
    <t>Overall risk rating</t>
  </si>
  <si>
    <t>System/process affected</t>
  </si>
  <si>
    <t>Area of business impact</t>
  </si>
  <si>
    <t>Risk reduction plan</t>
  </si>
  <si>
    <t>Owner name</t>
  </si>
  <si>
    <t>Person responsible</t>
  </si>
  <si>
    <t>Open, Mitigating, Accepted, Closed</t>
  </si>
  <si>
    <t>Risk status</t>
  </si>
  <si>
    <t>Additional context</t>
  </si>
  <si>
    <t>→ Users.User ID</t>
  </si>
  <si>
    <t>Owner user reference</t>
  </si>
  <si>
    <t>Risk Score Interpretation (Risk Score = Likelihood × Impact):</t>
  </si>
  <si>
    <t>Monitor - Review monthly</t>
  </si>
  <si>
    <t>Mitigate - Active management required</t>
  </si>
  <si>
    <t>Escalate - Senior management attention</t>
  </si>
  <si>
    <t>Immediate Action - Stop/remediate before proceeding</t>
  </si>
  <si>
    <t>SHEET: Drift | Range: A1:N11 | Records: 7 drift issues | Header Row: 4</t>
  </si>
  <si>
    <t>Format: DFT-###</t>
  </si>
  <si>
    <t>Unique drift identifier</t>
  </si>
  <si>
    <t>Affected release</t>
  </si>
  <si>
    <t>Denormalized</t>
  </si>
  <si>
    <t>Release name</t>
  </si>
  <si>
    <t>Affected application</t>
  </si>
  <si>
    <t>Test, UAT, Pre-prod</t>
  </si>
  <si>
    <t>Environment with drift</t>
  </si>
  <si>
    <t>Infrastructure, Configuration, Data, Integration, Security</t>
  </si>
  <si>
    <t>Drift classification</t>
  </si>
  <si>
    <t>Subcategory detail</t>
  </si>
  <si>
    <t>Specific drift type</t>
  </si>
  <si>
    <t>When drift was discovered</t>
  </si>
  <si>
    <t>Impact severity</t>
  </si>
  <si>
    <t>Drift details</t>
  </si>
  <si>
    <t>Max 200 chars</t>
  </si>
  <si>
    <t>How drift affects release</t>
  </si>
  <si>
    <t>Fix plan</t>
  </si>
  <si>
    <t>Open, In Progress, Resolved, Accepted</t>
  </si>
  <si>
    <t>Remediation status</t>
  </si>
  <si>
    <t>DATE/TEXT</t>
  </si>
  <si>
    <t>YYYY-MM-DD or 'TBD'</t>
  </si>
  <si>
    <t>Expected fix date</t>
  </si>
  <si>
    <t>SHEET: Dependencies | Range: A1:I29 | Records: 26 dependencies | Header Row: 3</t>
  </si>
  <si>
    <t>Format: DEP-###</t>
  </si>
  <si>
    <t>Unique dependency identifier</t>
  </si>
  <si>
    <t>Dependent release (child)</t>
  </si>
  <si>
    <t>Dependent release name</t>
  </si>
  <si>
    <t>Prerequisite release (parent)</t>
  </si>
  <si>
    <t>Prerequisite release name</t>
  </si>
  <si>
    <t>Technical, Data, Regulatory, Resource, Vendor</t>
  </si>
  <si>
    <t>Dependency classification</t>
  </si>
  <si>
    <t>Pending, Satisfied, Blocked, At Risk</t>
  </si>
  <si>
    <t>Current dependency status</t>
  </si>
  <si>
    <t>Consequence of blocking</t>
  </si>
  <si>
    <t>SHEET: Approvals | Range: A1:L30 | Records: 27 approvals | Header Row: 3</t>
  </si>
  <si>
    <t>Format: APR-###</t>
  </si>
  <si>
    <t>Unique approval identifier</t>
  </si>
  <si>
    <t>CAB Standard, CAB Emergency, Technical, Business, Security</t>
  </si>
  <si>
    <t>Type of approval</t>
  </si>
  <si>
    <t>Approver user reference</t>
  </si>
  <si>
    <t>Approver name</t>
  </si>
  <si>
    <t>Job title</t>
  </si>
  <si>
    <t>Approver's role</t>
  </si>
  <si>
    <t>When approval was requested</t>
  </si>
  <si>
    <t>When decision was made</t>
  </si>
  <si>
    <t>Pending, Approved, Rejected, Deferred, Conditional</t>
  </si>
  <si>
    <t>Approval outcome</t>
  </si>
  <si>
    <t>Approver comments</t>
  </si>
  <si>
    <t>Format: CAB-YYYYMMDD</t>
  </si>
  <si>
    <t>Associated CAB meeting</t>
  </si>
  <si>
    <t>Approval Workflow:</t>
  </si>
  <si>
    <t>SHEET: Calendar | Range: A1:J177 | Records: 166 events | Header Row: 11</t>
  </si>
  <si>
    <t>Note: Rows 1-10 contain calendar navigation header with month tabs</t>
  </si>
  <si>
    <t>Month name (Jul-26 to Jun-27)</t>
  </si>
  <si>
    <t>Month grouping</t>
  </si>
  <si>
    <t>Week number</t>
  </si>
  <si>
    <t>Week of month</t>
  </si>
  <si>
    <t>Event date</t>
  </si>
  <si>
    <t>Mon-Sun</t>
  </si>
  <si>
    <t>Day of week</t>
  </si>
  <si>
    <t>Release, CAB Meeting, Change Freeze, Vendor Maintenance, Holiday</t>
  </si>
  <si>
    <t>Event classification</t>
  </si>
  <si>
    <t>Affected department</t>
  </si>
  <si>
    <t>Release size or impact</t>
  </si>
  <si>
    <t>Event magnitude</t>
  </si>
  <si>
    <t>Additional details</t>
  </si>
  <si>
    <t>Event Types in Calendar:</t>
  </si>
  <si>
    <t>• Release (80) - Production deployment dates for all releases</t>
  </si>
  <si>
    <t>• CAB Meeting (80) - Change Advisory Board meetings for each release</t>
  </si>
  <si>
    <t>• Change Freeze (3) - Year-End and Quarter-End freeze periods</t>
  </si>
  <si>
    <t>• Vendor Maintenance (2) - Oracle patch windows</t>
  </si>
  <si>
    <t>• Holiday (1) - Company holidays affecting scheduling</t>
  </si>
  <si>
    <t>SHEET: Leave Calendar | Range: A1:L31 | Records: 30 leave records</t>
  </si>
  <si>
    <t>Format: LV-###</t>
  </si>
  <si>
    <t>Unique leave identifier</t>
  </si>
  <si>
    <t>Employee on leave</t>
  </si>
  <si>
    <t>Employee name</t>
  </si>
  <si>
    <t>Employee's department</t>
  </si>
  <si>
    <t>Job role</t>
  </si>
  <si>
    <t>Employee's role</t>
  </si>
  <si>
    <t>Leave start date</t>
  </si>
  <si>
    <t>YYYY-MM-DD; &gt;= Leave Start</t>
  </si>
  <si>
    <t>Leave end date</t>
  </si>
  <si>
    <t>Vacation, Sick, Personal, Training, Conference</t>
  </si>
  <si>
    <t>Type of leave</t>
  </si>
  <si>
    <t>Calculated: End - Start + 1</t>
  </si>
  <si>
    <t>Leave duration</t>
  </si>
  <si>
    <t>Release impacted by absence</t>
  </si>
  <si>
    <t>Impact description</t>
  </si>
  <si>
    <t>How absence affects release</t>
  </si>
  <si>
    <t>Risk level of absence</t>
  </si>
  <si>
    <t>Leave Risk Score Guidelines:</t>
  </si>
  <si>
    <t>• Critical - QA/Dev lead during critical release phase</t>
  </si>
  <si>
    <t>• High - SME/owner during their release</t>
  </si>
  <si>
    <t>• Medium - Backup coverage available</t>
  </si>
  <si>
    <t>• Low - Minimal impact on releases</t>
  </si>
  <si>
    <t>SHEET: Versions | Range: A1:J181 | Records: 180 (30 apps × 6 environments)</t>
  </si>
  <si>
    <t>Format: APP-###</t>
  </si>
  <si>
    <t>Application reference</t>
  </si>
  <si>
    <t>Application name</t>
  </si>
  <si>
    <t>Dev, Test, UAT, Pre-prod, Prod, DR</t>
  </si>
  <si>
    <t>Environment type</t>
  </si>
  <si>
    <t>Semantic versioning (e.g., 4.2.1)</t>
  </si>
  <si>
    <t>Current deployed version</t>
  </si>
  <si>
    <t>Format: Build-#####</t>
  </si>
  <si>
    <t>Build identifier</t>
  </si>
  <si>
    <t>Last deployment date</t>
  </si>
  <si>
    <t>Deployer name</t>
  </si>
  <si>
    <t>Person who deployed</t>
  </si>
  <si>
    <t>Active, Deprecated, Pending, Rollback</t>
  </si>
  <si>
    <t>Version status</t>
  </si>
  <si>
    <t>Version notes</t>
  </si>
  <si>
    <t>SHEET: Admin (Release Managers) | Range: A1:I13 | Records: 12 release managers</t>
  </si>
  <si>
    <t>Format: RM-###</t>
  </si>
  <si>
    <t>Unique RM identifier</t>
  </si>
  <si>
    <t>Release manager name</t>
  </si>
  <si>
    <t>Corporate email</t>
  </si>
  <si>
    <t>Email address</t>
  </si>
  <si>
    <t>Always 'IT'</t>
  </si>
  <si>
    <t>Home department</t>
  </si>
  <si>
    <t>North America, EMEA, APAC, LATAM</t>
  </si>
  <si>
    <t>Geographic region</t>
  </si>
  <si>
    <t>International format</t>
  </si>
  <si>
    <t>Contact number</t>
  </si>
  <si>
    <t>Active, On Leave, Inactive</t>
  </si>
  <si>
    <t>Availability status</t>
  </si>
  <si>
    <t>Employment start</t>
  </si>
  <si>
    <t>Domain expertise</t>
  </si>
  <si>
    <t>System specialization area</t>
  </si>
  <si>
    <t>SHEET: Super Admins | Range: A1:K15 | Records: 12 super administrators</t>
  </si>
  <si>
    <t>Format: SA-###</t>
  </si>
  <si>
    <t>Unique admin identifier</t>
  </si>
  <si>
    <t>Administrator name</t>
  </si>
  <si>
    <t>Position title</t>
  </si>
  <si>
    <t>IT, Security, HR, Finance</t>
  </si>
  <si>
    <t>System access description</t>
  </si>
  <si>
    <t>Scope of elevated access</t>
  </si>
  <si>
    <t>When access was granted</t>
  </si>
  <si>
    <t>Grantor name</t>
  </si>
  <si>
    <t>Who approved access</t>
  </si>
  <si>
    <t>Active, Suspended, Expired</t>
  </si>
  <si>
    <t>Access status</t>
  </si>
  <si>
    <t>Access expiration date</t>
  </si>
  <si>
    <t>Special access notes</t>
  </si>
  <si>
    <t>SHEET: Risk Factors | Range: A1:AX147 | Complex weighted risk model</t>
  </si>
  <si>
    <t>Structure Overview:</t>
  </si>
  <si>
    <t>• Rows 1-3: Sheet header and title</t>
  </si>
  <si>
    <t>• Rows 4-50: Risk factor definitions (44-46 factors across 10 categories)</t>
  </si>
  <si>
    <t>• Rows 51-147: Release risk assessment matrix (each release scored against factors)</t>
  </si>
  <si>
    <t>Risk Factor Definition Table (Rows 4-50):</t>
  </si>
  <si>
    <t>Risk category (10 categories)</t>
  </si>
  <si>
    <t>Specific risk factor name</t>
  </si>
  <si>
    <t>Factor weight (all weights sum to 100%)</t>
  </si>
  <si>
    <t>Factor description</t>
  </si>
  <si>
    <t>Description of score 1 (lowest risk)</t>
  </si>
  <si>
    <t>Description of score 5 (highest risk)</t>
  </si>
  <si>
    <t>Where to find data for scoring</t>
  </si>
  <si>
    <t>Risk Categories and Weights:</t>
  </si>
  <si>
    <t>SHEET: System Mapping | Range: A1:K128 | Integration architecture diagram</t>
  </si>
  <si>
    <t>• Rows 1-8: Legend explaining symbols and integration types</t>
  </si>
  <si>
    <t>• Rows 10-15: Core Systems Hub (SAP, Workday, ServiceNow, Salesforce)</t>
  </si>
  <si>
    <t>• Rows 18-35: Department Integration Matrix (8×8 grid)</t>
  </si>
  <si>
    <t>• Rows 37+: Detailed integration descriptions per department pair</t>
  </si>
  <si>
    <t>Integration Matrix Symbols:</t>
  </si>
  <si>
    <t>Symbol</t>
  </si>
  <si>
    <t>Meaning</t>
  </si>
  <si>
    <t>Full bidirectional integration</t>
  </si>
  <si>
    <t>◐</t>
  </si>
  <si>
    <t>Partial integration (specific data flows)</t>
  </si>
  <si>
    <t>Limited/indirect integration</t>
  </si>
  <si>
    <t>No direct integration (same system)</t>
  </si>
  <si>
    <t>(blank)</t>
  </si>
  <si>
    <t>No integration required</t>
  </si>
  <si>
    <t>Core Systems (Integration Hubs):</t>
  </si>
  <si>
    <t>Finance/Manufacturing</t>
  </si>
  <si>
    <t>Bidirectional - All departments</t>
  </si>
  <si>
    <t>Bidirectional - Finance, IT, Security</t>
  </si>
  <si>
    <t>Bidirectional - Finance, Manufacturing, Logistics</t>
  </si>
  <si>
    <t>SHEET: Reference Data | Range: A1:F270 | Lookup tables and enumeration values</t>
  </si>
  <si>
    <t>This sheet contains all dropdown values, status codes, and validation rules used across the workbook.</t>
  </si>
  <si>
    <t>See Table of Contents in rows 5-30 for section locations.</t>
  </si>
  <si>
    <t>Section Summary:</t>
  </si>
  <si>
    <t>8 department codes and names</t>
  </si>
  <si>
    <t>6 environment types (Dev→DR)</t>
  </si>
  <si>
    <t>Small, Medium, Large with phase durations</t>
  </si>
  <si>
    <t>High, Medium, Low definitions</t>
  </si>
  <si>
    <t>12 status values in workflow order</t>
  </si>
  <si>
    <t>1-25 score interpretation</t>
  </si>
  <si>
    <t>5 approval types, 9 workflow states</t>
  </si>
  <si>
    <t>5 dependency classifications</t>
  </si>
  <si>
    <t>4 status values</t>
  </si>
  <si>
    <t>5 leave categories</t>
  </si>
  <si>
    <t>12 role definitions with access levels</t>
  </si>
  <si>
    <t>5 drift types with subtypes</t>
  </si>
  <si>
    <t>Year-end and quarterly freeze dates</t>
  </si>
  <si>
    <t>Risk Factor Weights</t>
  </si>
  <si>
    <t>10 category weights (sum=100%)</t>
  </si>
  <si>
    <t>Environment codes by department</t>
  </si>
  <si>
    <t>Bidirectional, Upstream, Downstream</t>
  </si>
  <si>
    <t>1-5 probability scale</t>
  </si>
  <si>
    <t>1-5 severity scale</t>
  </si>
  <si>
    <t>10 application classifications</t>
  </si>
  <si>
    <t>9 notification categories</t>
  </si>
  <si>
    <t>5 testing phases with gates</t>
  </si>
  <si>
    <t>3 deployment time preferences</t>
  </si>
  <si>
    <t>10 SLA definitions</t>
  </si>
  <si>
    <t>SECTION 5: BUSINESS RULES &amp; SIMULATION SCENARIOS</t>
  </si>
  <si>
    <t>CONFLICT DETECTION RULES</t>
  </si>
  <si>
    <t>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</t>
  </si>
  <si>
    <t>Rule 1: Environment Conflict</t>
  </si>
  <si>
    <t>• Two releases CONFLICT if they require the same Test, UAT, or Pre-Prod environment during overlapping dates</t>
  </si>
  <si>
    <t>• Conflicts only occur within the SAME DEPARTMENT (departments have separate environment pools)</t>
  </si>
  <si>
    <t>• Detection: Compare (Env booking.Test Start/End), (UAT Start/End), (Pre-Prod Start/End) ranges</t>
  </si>
  <si>
    <t>Rule 2: Resource Conflict</t>
  </si>
  <si>
    <t>• Two releases CONFLICT if they require the same SME or critical resource during overlapping periods</t>
  </si>
  <si>
    <t>• Cross-reference: Leave Calendar affects resource availability during release phases</t>
  </si>
  <si>
    <t>• Stakeholder IDs in Releases sheet indicate which users are involved</t>
  </si>
  <si>
    <t>Rule 3: Dependency Conflict</t>
  </si>
  <si>
    <t>• A release CANNOT proceed if its predecessor (Dependencies.Depends On Release) is blocked or delayed</t>
  </si>
  <si>
    <t>• Status must be 'Satisfied' before dependent release can enter Testing phase</t>
  </si>
  <si>
    <t>CHANGE FREEZE RULES</t>
  </si>
  <si>
    <t>Dates</t>
  </si>
  <si>
    <t>Rule</t>
  </si>
  <si>
    <t>NO production deployments; exceptions require VP approval</t>
  </si>
  <si>
    <t>LIMITED deployments; only critical/regulatory allowed</t>
  </si>
  <si>
    <t>• Releases with Regulatory='GDPR/SOX/SOC2' may request freeze exemption</t>
  </si>
  <si>
    <t>• All freeze exemptions require documented business justification and CAB approval</t>
  </si>
  <si>
    <t>CAB APPROVAL WORKFLOW</t>
  </si>
  <si>
    <t>Workflow Stages:</t>
  </si>
  <si>
    <t>Required Actions</t>
  </si>
  <si>
    <t>1. Draft</t>
  </si>
  <si>
    <t>Release created, initial planning</t>
  </si>
  <si>
    <t>Complete release scope and impact assessment</t>
  </si>
  <si>
    <t>2. Planning</t>
  </si>
  <si>
    <t>Detailed planning underway</t>
  </si>
  <si>
    <t>Assign resources, define test strategy</t>
  </si>
  <si>
    <t>3. Testing</t>
  </si>
  <si>
    <t>Test phase in progress</t>
  </si>
  <si>
    <t>Complete all test cases, document results</t>
  </si>
  <si>
    <t>4. CAB Submitted</t>
  </si>
  <si>
    <t>Submitted for CAB review</t>
  </si>
  <si>
    <t>Package sent 2-3 days before CAB date</t>
  </si>
  <si>
    <t>5. CAB Approved</t>
  </si>
  <si>
    <t>Approved by Change Advisory Board</t>
  </si>
  <si>
    <t>Proceed to deployment preparation</t>
  </si>
  <si>
    <t>6. Deploying</t>
  </si>
  <si>
    <t>Deployment in progress</t>
  </si>
  <si>
    <t>Execute deployment runbook</t>
  </si>
  <si>
    <t>7. Deployed</t>
  </si>
  <si>
    <t>Successfully deployed to production</t>
  </si>
  <si>
    <t>Verify deployment, monitor</t>
  </si>
  <si>
    <t>8. PIR Complete</t>
  </si>
  <si>
    <t>Post-Implementation Review done</t>
  </si>
  <si>
    <t>Lessons learned documented</t>
  </si>
  <si>
    <t>9. Closed</t>
  </si>
  <si>
    <t>Release officially closed</t>
  </si>
  <si>
    <t>All artifacts archived</t>
  </si>
  <si>
    <t>CAB Lead Time Requirements:</t>
  </si>
  <si>
    <t>• Large releases: 3 days before Prod date</t>
  </si>
  <si>
    <t>• Medium/Small releases: 2 days before Prod date</t>
  </si>
  <si>
    <t>RISK CALCULATION METHODOLOGY</t>
  </si>
  <si>
    <t>Simple Risk Score (Risk sheet):</t>
  </si>
  <si>
    <t>Risk Score = Likelihood (1-5) × Impact (1-5) = 1-25</t>
  </si>
  <si>
    <t>Weighted Risk Score (Risk Factors sheet):</t>
  </si>
  <si>
    <t>Weighted Score = Σ (Factor Score × Factor Weight) for all 44-46 factors</t>
  </si>
  <si>
    <t>Each factor scored 1-5, weights sum to 100%</t>
  </si>
  <si>
    <t>Final score range: 1.00 - 5.00</t>
  </si>
  <si>
    <t>Risk Action Thresholds:</t>
  </si>
  <si>
    <t>Simple Score</t>
  </si>
  <si>
    <t>Weighted Score</t>
  </si>
  <si>
    <t>Required Action</t>
  </si>
  <si>
    <t>1.00-2.00</t>
  </si>
  <si>
    <t>Monitor monthly</t>
  </si>
  <si>
    <t>2.01-3.00</t>
  </si>
  <si>
    <t>Active mitigation required</t>
  </si>
  <si>
    <t>3.01-4.00</t>
  </si>
  <si>
    <t>Escalate to senior management</t>
  </si>
  <si>
    <t>4.01-5.00</t>
  </si>
  <si>
    <t>Stop release, remediate immediately</t>
  </si>
  <si>
    <t>SECTION 6: UI SCREEN MAPPING SUGGESTIONS FOR PROTOTYPE</t>
  </si>
  <si>
    <t>The following suggestions map Excel sheets to potential UI screens/wireframes:</t>
  </si>
  <si>
    <t>CORE OPERATIONAL SCREENS</t>
  </si>
  <si>
    <t>Screen Name</t>
  </si>
  <si>
    <t>Primary Data Source</t>
  </si>
  <si>
    <t>Key Features</t>
  </si>
  <si>
    <t>User Role</t>
  </si>
  <si>
    <t>Release Dashboard</t>
  </si>
  <si>
    <t>Pipeline view, status cards, KPIs, filters by dept/status/priority</t>
  </si>
  <si>
    <t>Release Manager, All Users</t>
  </si>
  <si>
    <t>Release Detail View</t>
  </si>
  <si>
    <t>Releases + Env booking + Risk + Dependencies</t>
  </si>
  <si>
    <t>Single release deep-dive, all related data, edit capability</t>
  </si>
  <si>
    <t>Environment Booking Grid</t>
  </si>
  <si>
    <t>Env booking sheet</t>
  </si>
  <si>
    <t>Gantt-style timeline, conflict highlighting, drag-drop reschedule</t>
  </si>
  <si>
    <t>Calendar View</t>
  </si>
  <si>
    <t>Calendar sheet</t>
  </si>
  <si>
    <t>Month/week view, release markers, freeze periods, CAB dates</t>
  </si>
  <si>
    <t>All Users</t>
  </si>
  <si>
    <t>Risk Register</t>
  </si>
  <si>
    <t>Risk sheet</t>
  </si>
  <si>
    <t>Sortable table, risk heat map, mitigation tracking</t>
  </si>
  <si>
    <t>Release Manager, Risk Owner</t>
  </si>
  <si>
    <t>Drift Dashboard</t>
  </si>
  <si>
    <t>Drift sheet</t>
  </si>
  <si>
    <t>Open issues list, severity indicators, remediation status</t>
  </si>
  <si>
    <t>Release Manager, Tech Lead</t>
  </si>
  <si>
    <t>APPROVAL &amp; WORKFLOW SCREENS</t>
  </si>
  <si>
    <t>CAB Meeting View</t>
  </si>
  <si>
    <t>Approvals + Releases</t>
  </si>
  <si>
    <t>Agenda items, vote tracking, decision history</t>
  </si>
  <si>
    <t>CAB Members, Release Manager</t>
  </si>
  <si>
    <t>Approval Queue</t>
  </si>
  <si>
    <t>Approvals sheet</t>
  </si>
  <si>
    <t>Pending approvals list, approve/reject actions</t>
  </si>
  <si>
    <t>Approvers</t>
  </si>
  <si>
    <t>Workflow Status</t>
  </si>
  <si>
    <t>Releases.Approval Status</t>
  </si>
  <si>
    <t>Visual workflow stages, progress tracking</t>
  </si>
  <si>
    <t>CONFIGURATION &amp; ADMIN SCREENS</t>
  </si>
  <si>
    <t>Application Catalog</t>
  </si>
  <si>
    <t>Searchable app list, env owners, filtering</t>
  </si>
  <si>
    <t>User Management</t>
  </si>
  <si>
    <t>Users sheet</t>
  </si>
  <si>
    <t>User list, role assignment, status management</t>
  </si>
  <si>
    <t>Release Manager Portal</t>
  </si>
  <si>
    <t>Admin (Release Managers) sheet</t>
  </si>
  <si>
    <t>RM directory, specializations, workload view</t>
  </si>
  <si>
    <t>Admin, Release Manager</t>
  </si>
  <si>
    <t>Super Admin Console</t>
  </si>
  <si>
    <t>Super Admins sheet</t>
  </si>
  <si>
    <t>Elevated access management, audit trail</t>
  </si>
  <si>
    <t>Risk Factor Configuration</t>
  </si>
  <si>
    <t>Edit weights, factor definitions, scoring rules</t>
  </si>
  <si>
    <t>Admin, Risk Manager</t>
  </si>
  <si>
    <t>Reference Data Admin</t>
  </si>
  <si>
    <t>Reference Data sheet</t>
  </si>
  <si>
    <t>Manage dropdowns, status codes, lookup values</t>
  </si>
  <si>
    <t>ANALYTICS &amp; REPORTING SCREENS</t>
  </si>
  <si>
    <t>Version Dashboard</t>
  </si>
  <si>
    <t>Versions sheet</t>
  </si>
  <si>
    <t>Version comparison across envs, deployment history</t>
  </si>
  <si>
    <t>Release Manager, Dev</t>
  </si>
  <si>
    <t>System Integration Map</t>
  </si>
  <si>
    <t>System Mapping sheet</t>
  </si>
  <si>
    <t>Visual integration diagram, dependency exploration</t>
  </si>
  <si>
    <t>Architect, All Users</t>
  </si>
  <si>
    <t>Leave Impact Report</t>
  </si>
  <si>
    <t>Leave Calendar + Releases</t>
  </si>
  <si>
    <t>Resource availability, release risk assessment</t>
  </si>
  <si>
    <t>Dependency Graph</t>
  </si>
  <si>
    <t>Dependencies sheet</t>
  </si>
  <si>
    <t>Visual release dependency network, critical path</t>
  </si>
  <si>
    <t>Conflict Resolution Queue</t>
  </si>
  <si>
    <t>Env booking (Conflict=Y)</t>
  </si>
  <si>
    <t>Filtered list of conflicts, resolution actions</t>
  </si>
  <si>
    <t>MOBILE / QUICK-VIEW SCREENS</t>
  </si>
  <si>
    <t>My Releases</t>
  </si>
  <si>
    <t>Releases (filtered by owner)</t>
  </si>
  <si>
    <t>Personal release list, quick status update</t>
  </si>
  <si>
    <t>Release Owner</t>
  </si>
  <si>
    <t>Today's Events</t>
  </si>
  <si>
    <t>Calendar (filtered by date)</t>
  </si>
  <si>
    <t>Day view of releases, meetings, freezes</t>
  </si>
  <si>
    <t>My Approvals</t>
  </si>
  <si>
    <t>Approvals (filtered by approver)</t>
  </si>
  <si>
    <t>Pending approvals requiring my action</t>
  </si>
  <si>
    <t>Risk Alerts</t>
  </si>
  <si>
    <t>Risk (High/Critical)</t>
  </si>
  <si>
    <t>Push notifications for escalated risks</t>
  </si>
  <si>
    <t>SECTION 7: SIMULATION SCENARIOS FOR PROTOTYPE TESTING</t>
  </si>
  <si>
    <t>The sample data includes realistic scenarios for testing the prototype. Each scenario represents a challenge a</t>
  </si>
  <si>
    <t>Release Manager would face in a real enterprise environment.</t>
  </si>
  <si>
    <t>SCENARIO 1: ENVIRONMENT CONFLICTS (~32% of releases)</t>
  </si>
  <si>
    <t>Data Location: Env booking sheet where Conflict Flag = 'Y'</t>
  </si>
  <si>
    <t>Challenge: Multiple releases need the same Test/UAT environment at the same time</t>
  </si>
  <si>
    <t>Expected Action: Release Manager negotiates reschedule, expands capacity, or prioritizes by business impact</t>
  </si>
  <si>
    <t>Sample Releases: Look for REL-0002, REL-0005, REL-0008, etc. (26 total conflicts)</t>
  </si>
  <si>
    <t>SCENARIO 2: CHANGE FREEZE VIOLATIONS</t>
  </si>
  <si>
    <t>Data Location: Releases sheet where Change Freeze column is not blank</t>
  </si>
  <si>
    <t>Challenge: 7 releases are scheduled during freeze periods</t>
  </si>
  <si>
    <t>Freeze Periods: Year-End (Dec 15 - Jan 5), Q1 End (Mar 29-31), Q2 End (Jun 28-30)</t>
  </si>
  <si>
    <t>Expected Action: Reschedule release or obtain VP-level exemption approval</t>
  </si>
  <si>
    <t>SCENARIO 3: DEPENDENCY BLOCKING</t>
  </si>
  <si>
    <t>Data Location: Dependencies sheet where Status = 'Blocked' or 'At Risk'</t>
  </si>
  <si>
    <t>Challenge: Child release cannot proceed until parent is complete</t>
  </si>
  <si>
    <t>Expected Action: Expedite parent release, adjust child timeline, or decouple dependency</t>
  </si>
  <si>
    <t>Sample: Check DEP-003, DEP-007 for blocked dependencies</t>
  </si>
  <si>
    <t>SCENARIO 4: HIGH-RISK RELEASES</t>
  </si>
  <si>
    <t>Data Location: Risk sheet where Risk Score &gt;= 12 (High/Critical)</t>
  </si>
  <si>
    <t>Challenge: Releases with elevated risk requiring additional mitigation</t>
  </si>
  <si>
    <t>Expected Action: Implement mitigation strategies, escalate to leadership, consider delay</t>
  </si>
  <si>
    <t>Sample: Look for RSK-001, RSK-005 (Risk Score 20+)</t>
  </si>
  <si>
    <t>SCENARIO 5: RESOURCE UNAVAILABILITY</t>
  </si>
  <si>
    <t>Data Location: Leave Calendar where Risk Score = 'Critical' or 'High'</t>
  </si>
  <si>
    <t>Challenge: Key personnel on leave during critical release phases</t>
  </si>
  <si>
    <t>Expected Action: Identify backup resources, adjust release timing, cross-train team</t>
  </si>
  <si>
    <t>Sample: 5 Critical risk leaves, 10 High risk leaves affecting 40+ releases</t>
  </si>
  <si>
    <t>SCENARIO 6: ENVIRONMENT DRIFT</t>
  </si>
  <si>
    <t>Data Location: Drift sheet</t>
  </si>
  <si>
    <t>Challenge: Test/UAT environments don't match Production configuration</t>
  </si>
  <si>
    <t>Expected Action: Remediate drift before proceeding, accept risk with documentation</t>
  </si>
  <si>
    <t>Sample: 7 drift issues affecting REL-0004 and REL-0010 (Infrastructure, Config, Data, Integration, Security)</t>
  </si>
  <si>
    <t>SCENARIO 7: CAB APPROVAL BOTTLENECK</t>
  </si>
  <si>
    <t>Data Location: Approvals sheet where Decision = 'Pending'</t>
  </si>
  <si>
    <t>Challenge: Multiple releases awaiting CAB approval, limited meeting slots</t>
  </si>
  <si>
    <t>Expected Action: Batch similar releases, prepare comprehensive packages, schedule special CAB</t>
  </si>
  <si>
    <t>Sample: Check pending approvals with upcoming CAB dates</t>
  </si>
  <si>
    <t>SCENARIO 8: REGULATORY COMPLIANCE</t>
  </si>
  <si>
    <t>Data Location: Releases sheet where Regulatory is not blank (GDPR, SOX, SOC2)</t>
  </si>
  <si>
    <t>Challenge: 8 releases have compliance requirements with strict deadlines</t>
  </si>
  <si>
    <t>Expected Action: Prioritize regulatory releases, ensure audit trail, document compliance</t>
  </si>
  <si>
    <t>SCENARIO 9: LOW READINESS RELEASES</t>
  </si>
  <si>
    <t>Data Location: Releases sheet where Readiness % &lt; 75%</t>
  </si>
  <si>
    <t>Challenge: Releases approaching deadline with incomplete preparation</t>
  </si>
  <si>
    <t>Expected Action: Escalate blockers, reduce scope, defer to next release window</t>
  </si>
  <si>
    <t>SCENARIO 10: VENDOR MAINTENANCE WINDOWS</t>
  </si>
  <si>
    <t>Data Location: Releases sheet where Vendor Maintenance is not blank</t>
  </si>
  <si>
    <t>Challenge: 2 releases coincide with Oracle patch windows</t>
  </si>
  <si>
    <t>Expected Action: Coordinate timing with vendor, adjust deployment window</t>
  </si>
  <si>
    <t>SECTION 8: DATA VALIDATION RULES &amp; INTEGRITY CHECKS</t>
  </si>
  <si>
    <t>When building the prototype, implement these validation rules:</t>
  </si>
  <si>
    <t>REFERENTIAL INTEGRITY (FK must exist in target)</t>
  </si>
  <si>
    <t>Error Message</t>
  </si>
  <si>
    <t>REL-DEPT</t>
  </si>
  <si>
    <t>Releases.Department</t>
  </si>
  <si>
    <t>Reference Data.Dept Code</t>
  </si>
  <si>
    <t>Invalid department code</t>
  </si>
  <si>
    <t>REL-APP</t>
  </si>
  <si>
    <t>Releases.Application</t>
  </si>
  <si>
    <t>Applications.Application</t>
  </si>
  <si>
    <t>Application not found in catalog</t>
  </si>
  <si>
    <t>REL-OWNER</t>
  </si>
  <si>
    <t>Releases.Release Owner ID</t>
  </si>
  <si>
    <t>Users.User ID</t>
  </si>
  <si>
    <t>User not found</t>
  </si>
  <si>
    <t>ENV-REL</t>
  </si>
  <si>
    <t>Env booking.Release ID</t>
  </si>
  <si>
    <t>Releases.Release ID</t>
  </si>
  <si>
    <t>Release not found</t>
  </si>
  <si>
    <t>RSK-REL</t>
  </si>
  <si>
    <t>Risk.Release ID</t>
  </si>
  <si>
    <t>DEP-REL</t>
  </si>
  <si>
    <t>Dependencies.Release ID</t>
  </si>
  <si>
    <t>DEP-PARENT</t>
  </si>
  <si>
    <t>Dependencies.Depends On Release</t>
  </si>
  <si>
    <t>Parent release not found</t>
  </si>
  <si>
    <t>APR-REL</t>
  </si>
  <si>
    <t>Approvals.Release ID</t>
  </si>
  <si>
    <t>LV-USR</t>
  </si>
  <si>
    <t>Leave Calendar.User ID</t>
  </si>
  <si>
    <t>DATE VALIDATION</t>
  </si>
  <si>
    <t>Field</t>
  </si>
  <si>
    <t>Constraint</t>
  </si>
  <si>
    <t>DATE-ORDER</t>
  </si>
  <si>
    <t>Release Start/End</t>
  </si>
  <si>
    <t>End Date &gt;= Start Date</t>
  </si>
  <si>
    <t>End date cannot be before start date</t>
  </si>
  <si>
    <t>CAB-TIMING</t>
  </si>
  <si>
    <t>CAB Date vs End Date</t>
  </si>
  <si>
    <t>CAB Date = End Date - 2 or 3 days</t>
  </si>
  <si>
    <t>CAB date must precede production by 2-3 days</t>
  </si>
  <si>
    <t>PHASE-SEQ</t>
  </si>
  <si>
    <t>Test/UAT/Pre-Prod</t>
  </si>
  <si>
    <t>Test End &lt; UAT Start &lt; Pre-Prod Start</t>
  </si>
  <si>
    <t>Environment phases must be sequential</t>
  </si>
  <si>
    <t>LEAVE-RANGE</t>
  </si>
  <si>
    <t>Leave Start/End</t>
  </si>
  <si>
    <t>Leave End &gt;= Leave Start</t>
  </si>
  <si>
    <t>Leave end cannot be before start</t>
  </si>
  <si>
    <t>BUSINESS LOGIC VALIDATION</t>
  </si>
  <si>
    <t>Condition</t>
  </si>
  <si>
    <t>CONFLICT-FLAG</t>
  </si>
  <si>
    <t>Overlapping env bookings</t>
  </si>
  <si>
    <t>Set Conflict Flag = 'Y' for both releases</t>
  </si>
  <si>
    <t>RISK-SCORE</t>
  </si>
  <si>
    <t>Likelihood and Impact entered</t>
  </si>
  <si>
    <t>Auto-calculate: Risk Score = Likelihood × Impact</t>
  </si>
  <si>
    <t>READINESS</t>
  </si>
  <si>
    <t>Approval Status = 'Deployed'</t>
  </si>
  <si>
    <t>Readiness % should be 100%</t>
  </si>
  <si>
    <t>FREEZE-FLAG</t>
  </si>
  <si>
    <t>Prod Date in freeze period</t>
  </si>
  <si>
    <t>Set Change Freeze column with freeze period name</t>
  </si>
  <si>
    <t>DEP-STATUS</t>
  </si>
  <si>
    <t>Parent Status = 'Deployed'</t>
  </si>
  <si>
    <t>Child dependency Status should be 'Satisfied'</t>
  </si>
  <si>
    <t>SECTION 9: DOCUMENT METADATA</t>
  </si>
  <si>
    <t>Document Title</t>
  </si>
  <si>
    <t>ReleaseDesk Sample Data Specification</t>
  </si>
  <si>
    <t>Generated</t>
  </si>
  <si>
    <t>Machine-readable specification for prototype/wireframe generation</t>
  </si>
  <si>
    <t>Data Period</t>
  </si>
  <si>
    <t>July 2026 - June 2027</t>
  </si>
  <si>
    <t>Total Sheets</t>
  </si>
  <si>
    <t>Total Data Rows</t>
  </si>
  <si>
    <t>~2,500 (excluding headers and metadata)</t>
  </si>
  <si>
    <t>NOTES FOR PROTOTYPE BUILDER</t>
  </si>
  <si>
    <t>• All data is fictional and for demonstration purposes only</t>
  </si>
  <si>
    <t>• Company names, applications, and user names are examples representing typical enterprise scenarios</t>
  </si>
  <si>
    <t>• The ~32% conflict rate simulates real-world resource contention challenges</t>
  </si>
  <si>
    <t>• Risk scores and readiness percentages vary to create realistic testing scenarios</t>
  </si>
  <si>
    <t>• Date ranges span 12 months to show full annual release cycle patterns</t>
  </si>
  <si>
    <t>• The Reference Data sheet should be used to populate all dropdown menus</t>
  </si>
  <si>
    <t>• Foreign key relationships must be validated on data entry</t>
  </si>
  <si>
    <t>• Workflow states should be enforced (cannot skip stages)</t>
  </si>
  <si>
    <t>END OF SPECIFICATION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</si>
</sst>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0.0%"/>
  </numFmts>
  <fonts count="2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b/>
      <sz val="18"/>
      <color rgb="FF1F4E79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sz val="11"/>
      <color theme="1"/>
      <name val="Consolas"/>
    </font>
    <font>
      <b/>
      <sz val="12"/>
      <color theme="1"/>
      <name val="Aptos Narrow"/>
      <family val="2"/>
      <scheme val="minor"/>
    </font>
    <font>
      <sz val="11"/>
      <color rgb="FF1F4E79"/>
      <name val="Aptos Narrow"/>
      <family val="2"/>
      <scheme val="minor"/>
    </font>
    <font>
      <sz val="9"/>
      <color theme="1"/>
      <name val="Consolas"/>
    </font>
    <font>
      <sz val="11"/>
      <color rgb="FFFFFFFF"/>
      <name val="Aptos Narrow"/>
      <family val="2"/>
      <scheme val="minor"/>
    </font>
    <font>
      <b/>
      <sz val="11"/>
      <color rgb="FFC00000"/>
      <name val="Aptos Narrow"/>
      <family val="2"/>
      <scheme val="minor"/>
    </font>
    <font>
      <b/>
      <sz val="14"/>
      <color rgb="FF305496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6"/>
      <color rgb="FFFFFFFF"/>
      <name val="Aptos Narrow"/>
      <family val="2"/>
      <scheme val="minor"/>
    </font>
    <font>
      <sz val="11"/>
      <color rgb="FFFF6B6B"/>
      <name val="Aptos Narrow"/>
      <family val="2"/>
      <scheme val="minor"/>
    </font>
    <font>
      <sz val="11"/>
      <color rgb="FFC00000"/>
      <name val="Aptos Narrow"/>
      <family val="2"/>
      <scheme val="minor"/>
    </font>
    <font>
      <sz val="11"/>
      <color rgb="FFFFC000"/>
      <name val="Aptos Narrow"/>
      <family val="2"/>
      <scheme val="minor"/>
    </font>
    <font>
      <sz val="11"/>
      <color rgb="FF92D050"/>
      <name val="Aptos Narrow"/>
      <family val="2"/>
      <scheme val="minor"/>
    </font>
    <font>
      <sz val="11"/>
      <color rgb="FFB4A7D6"/>
      <name val="Aptos Narrow"/>
      <family val="2"/>
      <scheme val="minor"/>
    </font>
    <font>
      <sz val="11"/>
      <color rgb="FF00B0F0"/>
      <name val="Aptos Narrow"/>
      <family val="2"/>
      <scheme val="minor"/>
    </font>
    <font>
      <b/>
      <sz val="12"/>
      <color rgb="FFFFFFFF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2"/>
      <color rgb="FF1F4E79"/>
      <name val="Aptos Narrow"/>
      <family val="2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538135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E2D1F0"/>
        <bgColor indexed="64"/>
      </patternFill>
    </fill>
    <fill>
      <patternFill patternType="solid">
        <fgColor rgb="FFC55A11"/>
        <bgColor indexed="64"/>
      </patternFill>
    </fill>
    <fill>
      <patternFill patternType="solid">
        <fgColor rgb="FF203864"/>
        <bgColor indexed="64"/>
      </patternFill>
    </fill>
    <fill>
      <patternFill patternType="solid">
        <fgColor rgb="FF8FAADC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4B183"/>
        <bgColor indexed="64"/>
      </patternFill>
    </fill>
    <fill>
      <patternFill patternType="solid">
        <fgColor rgb="FF548235"/>
        <bgColor indexed="64"/>
      </patternFill>
    </fill>
    <fill>
      <patternFill patternType="solid">
        <fgColor rgb="FF305496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F6B6B"/>
        <bgColor indexed="64"/>
      </patternFill>
    </fill>
    <fill>
      <patternFill patternType="solid">
        <fgColor rgb="FFE4DFEC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D6DCE4"/>
        <bgColor indexed="64"/>
      </patternFill>
    </fill>
    <fill>
      <patternFill patternType="solid">
        <fgColor rgb="FF2F5496"/>
        <bgColor indexed="64"/>
      </patternFill>
    </fill>
    <fill>
      <patternFill patternType="solid">
        <fgColor rgb="FFD9E2F3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1F4E7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4B084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D0CECE"/>
        <bgColor indexed="64"/>
      </patternFill>
    </fill>
    <fill>
      <patternFill patternType="solid">
        <fgColor rgb="FFD6E3F8"/>
        <bgColor indexed="64"/>
      </patternFill>
    </fill>
    <fill>
      <patternFill patternType="solid">
        <fgColor rgb="FFE2E2E2"/>
        <bgColor indexed="64"/>
      </patternFill>
    </fill>
    <fill>
      <patternFill patternType="solid">
        <fgColor rgb="FFFFCCCC"/>
        <bgColor indexed="64"/>
      </patternFill>
    </fill>
  </fills>
  <borders count="19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auto="1"/>
      </bottom>
      <diagonal/>
    </border>
    <border>
      <left style="thin">
        <color rgb="FFC0C0C0"/>
      </left>
      <right style="thin">
        <color rgb="FFC0C0C0"/>
      </right>
      <top style="thin">
        <color auto="1"/>
      </top>
      <bottom style="thin">
        <color rgb="FFC0C0C0"/>
      </bottom>
      <diagonal/>
    </border>
    <border>
      <left style="thin">
        <color auto="1"/>
      </left>
      <right style="thin">
        <color rgb="FFC0C0C0"/>
      </right>
      <top style="thin">
        <color auto="1"/>
      </top>
      <bottom style="thin">
        <color rgb="FFC0C0C0"/>
      </bottom>
      <diagonal/>
    </border>
    <border>
      <left style="thin">
        <color auto="1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auto="1"/>
      </left>
      <right style="thin">
        <color rgb="FFC0C0C0"/>
      </right>
      <top style="thin">
        <color rgb="FFC0C0C0"/>
      </top>
      <bottom style="thin">
        <color auto="1"/>
      </bottom>
      <diagonal/>
    </border>
    <border>
      <left style="thin">
        <color rgb="FFC0C0C0"/>
      </left>
      <right style="thin">
        <color auto="1"/>
      </right>
      <top style="thin">
        <color auto="1"/>
      </top>
      <bottom style="thin">
        <color rgb="FFC0C0C0"/>
      </bottom>
      <diagonal/>
    </border>
    <border>
      <left style="thin">
        <color rgb="FFC0C0C0"/>
      </left>
      <right style="thin">
        <color auto="1"/>
      </right>
      <top style="thin">
        <color rgb="FFC0C0C0"/>
      </top>
      <bottom style="thin">
        <color rgb="FFC0C0C0"/>
      </bottom>
      <diagonal/>
    </border>
    <border>
      <left style="thin">
        <color rgb="FFC0C0C0"/>
      </left>
      <right style="thin">
        <color auto="1"/>
      </right>
      <top style="thin">
        <color rgb="FFC0C0C0"/>
      </top>
      <bottom style="thin">
        <color auto="1"/>
      </bottom>
      <diagonal/>
    </border>
    <border>
      <left/>
      <right/>
      <top/>
      <bottom style="thin">
        <color rgb="FF1F4E79"/>
      </bottom>
      <diagonal/>
    </border>
  </borders>
  <cellStyleXfs count="1">
    <xf numFmtId="0" fontId="0" fillId="0" borderId="0"/>
  </cellStyleXfs>
  <cellXfs count="207">
    <xf numFmtId="0" fontId="0" fillId="0" borderId="0" xfId="0"/>
    <xf numFmtId="0" fontId="1" fillId="0" borderId="0" xfId="0" applyFont="1"/>
    <xf numFmtId="0" fontId="2" fillId="2" borderId="0" xfId="0" applyFont="1" applyFill="1"/>
    <xf numFmtId="164" fontId="0" fillId="0" borderId="0" xfId="0" applyNumberFormat="1"/>
    <xf numFmtId="0" fontId="2" fillId="2" borderId="4" xfId="0" applyFont="1" applyFill="1" applyBorder="1"/>
    <xf numFmtId="0" fontId="0" fillId="0" borderId="4" xfId="0" applyBorder="1"/>
    <xf numFmtId="164" fontId="0" fillId="0" borderId="4" xfId="0" applyNumberFormat="1" applyBorder="1"/>
    <xf numFmtId="0" fontId="1" fillId="4" borderId="0" xfId="0" applyFont="1" applyFill="1"/>
    <xf numFmtId="0" fontId="3" fillId="0" borderId="0" xfId="0" applyFont="1"/>
    <xf numFmtId="0" fontId="1" fillId="7" borderId="0" xfId="0" applyFont="1" applyFill="1"/>
    <xf numFmtId="0" fontId="1" fillId="9" borderId="4" xfId="0" applyFont="1" applyFill="1" applyBorder="1"/>
    <xf numFmtId="0" fontId="1" fillId="11" borderId="4" xfId="0" applyFont="1" applyFill="1" applyBorder="1"/>
    <xf numFmtId="0" fontId="5" fillId="0" borderId="0" xfId="0" applyFont="1"/>
    <xf numFmtId="0" fontId="1" fillId="14" borderId="4" xfId="0" applyFont="1" applyFill="1" applyBorder="1"/>
    <xf numFmtId="0" fontId="1" fillId="16" borderId="4" xfId="0" applyFont="1" applyFill="1" applyBorder="1"/>
    <xf numFmtId="0" fontId="6" fillId="0" borderId="0" xfId="0" applyFont="1"/>
    <xf numFmtId="0" fontId="7" fillId="0" borderId="0" xfId="0" applyFont="1"/>
    <xf numFmtId="0" fontId="2" fillId="6" borderId="4" xfId="0" applyFont="1" applyFill="1" applyBorder="1"/>
    <xf numFmtId="0" fontId="0" fillId="0" borderId="9" xfId="0" applyBorder="1"/>
    <xf numFmtId="164" fontId="0" fillId="0" borderId="9" xfId="0" applyNumberFormat="1" applyBorder="1"/>
    <xf numFmtId="0" fontId="0" fillId="0" borderId="10" xfId="0" applyBorder="1"/>
    <xf numFmtId="164" fontId="0" fillId="0" borderId="10" xfId="0" applyNumberFormat="1" applyBorder="1"/>
    <xf numFmtId="0" fontId="2" fillId="17" borderId="11" xfId="0" applyFont="1" applyFill="1" applyBorder="1"/>
    <xf numFmtId="0" fontId="2" fillId="17" borderId="12" xfId="0" applyFont="1" applyFill="1" applyBorder="1"/>
    <xf numFmtId="0" fontId="0" fillId="0" borderId="13" xfId="0" applyBorder="1"/>
    <xf numFmtId="0" fontId="0" fillId="0" borderId="14" xfId="0" applyBorder="1"/>
    <xf numFmtId="0" fontId="2" fillId="17" borderId="15" xfId="0" applyFont="1" applyFill="1" applyBorder="1"/>
    <xf numFmtId="0" fontId="0" fillId="0" borderId="16" xfId="0" applyBorder="1"/>
    <xf numFmtId="0" fontId="0" fillId="0" borderId="17" xfId="0" applyBorder="1"/>
    <xf numFmtId="0" fontId="2" fillId="15" borderId="11" xfId="0" applyFont="1" applyFill="1" applyBorder="1"/>
    <xf numFmtId="0" fontId="2" fillId="15" borderId="12" xfId="0" applyFont="1" applyFill="1" applyBorder="1"/>
    <xf numFmtId="0" fontId="2" fillId="15" borderId="15" xfId="0" applyFont="1" applyFill="1" applyBorder="1"/>
    <xf numFmtId="0" fontId="2" fillId="18" borderId="11" xfId="0" applyFont="1" applyFill="1" applyBorder="1" applyAlignment="1">
      <alignment horizontal="center"/>
    </xf>
    <xf numFmtId="0" fontId="2" fillId="18" borderId="12" xfId="0" applyFont="1" applyFill="1" applyBorder="1" applyAlignment="1">
      <alignment horizontal="center"/>
    </xf>
    <xf numFmtId="0" fontId="2" fillId="18" borderId="15" xfId="0" applyFont="1" applyFill="1" applyBorder="1" applyAlignment="1">
      <alignment horizontal="center"/>
    </xf>
    <xf numFmtId="0" fontId="0" fillId="19" borderId="9" xfId="0" applyFill="1" applyBorder="1"/>
    <xf numFmtId="164" fontId="0" fillId="19" borderId="9" xfId="0" applyNumberFormat="1" applyFill="1" applyBorder="1"/>
    <xf numFmtId="0" fontId="0" fillId="19" borderId="10" xfId="0" applyFill="1" applyBorder="1"/>
    <xf numFmtId="164" fontId="0" fillId="19" borderId="10" xfId="0" applyNumberFormat="1" applyFill="1" applyBorder="1"/>
    <xf numFmtId="0" fontId="0" fillId="20" borderId="9" xfId="0" applyFill="1" applyBorder="1"/>
    <xf numFmtId="164" fontId="0" fillId="20" borderId="9" xfId="0" applyNumberFormat="1" applyFill="1" applyBorder="1"/>
    <xf numFmtId="0" fontId="0" fillId="20" borderId="10" xfId="0" applyFill="1" applyBorder="1"/>
    <xf numFmtId="164" fontId="0" fillId="20" borderId="10" xfId="0" applyNumberFormat="1" applyFill="1" applyBorder="1"/>
    <xf numFmtId="164" fontId="0" fillId="21" borderId="9" xfId="0" applyNumberFormat="1" applyFill="1" applyBorder="1"/>
    <xf numFmtId="164" fontId="0" fillId="21" borderId="10" xfId="0" applyNumberFormat="1" applyFill="1" applyBorder="1"/>
    <xf numFmtId="0" fontId="11" fillId="0" borderId="0" xfId="0" applyFont="1"/>
    <xf numFmtId="0" fontId="0" fillId="19" borderId="2" xfId="0" applyFill="1" applyBorder="1" applyAlignment="1">
      <alignment horizontal="center"/>
    </xf>
    <xf numFmtId="0" fontId="0" fillId="20" borderId="1" xfId="0" applyFill="1" applyBorder="1" applyAlignment="1">
      <alignment horizontal="center"/>
    </xf>
    <xf numFmtId="0" fontId="0" fillId="21" borderId="1" xfId="0" applyFill="1" applyBorder="1" applyAlignment="1">
      <alignment horizontal="center"/>
    </xf>
    <xf numFmtId="0" fontId="0" fillId="22" borderId="5" xfId="0" applyFill="1" applyBorder="1" applyAlignment="1">
      <alignment horizontal="center"/>
    </xf>
    <xf numFmtId="0" fontId="0" fillId="3" borderId="9" xfId="0" applyFill="1" applyBorder="1"/>
    <xf numFmtId="164" fontId="0" fillId="3" borderId="9" xfId="0" applyNumberFormat="1" applyFill="1" applyBorder="1"/>
    <xf numFmtId="0" fontId="0" fillId="3" borderId="10" xfId="0" applyFill="1" applyBorder="1"/>
    <xf numFmtId="164" fontId="0" fillId="3" borderId="10" xfId="0" applyNumberFormat="1" applyFill="1" applyBorder="1"/>
    <xf numFmtId="164" fontId="0" fillId="23" borderId="9" xfId="0" applyNumberFormat="1" applyFill="1" applyBorder="1"/>
    <xf numFmtId="164" fontId="0" fillId="23" borderId="10" xfId="0" applyNumberFormat="1" applyFill="1" applyBorder="1"/>
    <xf numFmtId="0" fontId="2" fillId="2" borderId="6" xfId="0" applyFont="1" applyFill="1" applyBorder="1"/>
    <xf numFmtId="9" fontId="0" fillId="0" borderId="0" xfId="0" applyNumberFormat="1"/>
    <xf numFmtId="0" fontId="12" fillId="0" borderId="0" xfId="0" applyFont="1"/>
    <xf numFmtId="0" fontId="13" fillId="0" borderId="0" xfId="0" applyFont="1"/>
    <xf numFmtId="0" fontId="15" fillId="0" borderId="0" xfId="0" applyFont="1"/>
    <xf numFmtId="0" fontId="16" fillId="0" borderId="0" xfId="0" applyFont="1"/>
    <xf numFmtId="0" fontId="17" fillId="0" borderId="0" xfId="0" applyFont="1"/>
    <xf numFmtId="0" fontId="18" fillId="0" borderId="0" xfId="0" applyFont="1"/>
    <xf numFmtId="0" fontId="19" fillId="0" borderId="0" xfId="0" applyFont="1"/>
    <xf numFmtId="0" fontId="20" fillId="0" borderId="0" xfId="0" applyFont="1"/>
    <xf numFmtId="17" fontId="0" fillId="0" borderId="0" xfId="0" applyNumberFormat="1"/>
    <xf numFmtId="0" fontId="1" fillId="29" borderId="0" xfId="0" applyFont="1" applyFill="1"/>
    <xf numFmtId="0" fontId="0" fillId="0" borderId="0" xfId="0" applyAlignment="1">
      <alignment wrapText="1"/>
    </xf>
    <xf numFmtId="16" fontId="0" fillId="0" borderId="0" xfId="0" applyNumberFormat="1"/>
    <xf numFmtId="16" fontId="0" fillId="26" borderId="0" xfId="0" applyNumberFormat="1" applyFill="1"/>
    <xf numFmtId="16" fontId="0" fillId="24" borderId="0" xfId="0" applyNumberFormat="1" applyFill="1"/>
    <xf numFmtId="16" fontId="0" fillId="22" borderId="0" xfId="0" applyNumberFormat="1" applyFill="1"/>
    <xf numFmtId="0" fontId="9" fillId="15" borderId="0" xfId="0" applyFont="1" applyFill="1"/>
    <xf numFmtId="0" fontId="1" fillId="0" borderId="0" xfId="0" applyFont="1" applyAlignment="1">
      <alignment horizontal="center"/>
    </xf>
    <xf numFmtId="0" fontId="2" fillId="29" borderId="0" xfId="0" applyFont="1" applyFill="1"/>
    <xf numFmtId="0" fontId="0" fillId="20" borderId="4" xfId="0" applyFill="1" applyBorder="1"/>
    <xf numFmtId="0" fontId="0" fillId="19" borderId="4" xfId="0" applyFill="1" applyBorder="1"/>
    <xf numFmtId="0" fontId="0" fillId="21" borderId="4" xfId="0" applyFill="1" applyBorder="1"/>
    <xf numFmtId="9" fontId="1" fillId="0" borderId="0" xfId="0" applyNumberFormat="1" applyFont="1"/>
    <xf numFmtId="9" fontId="1" fillId="4" borderId="4" xfId="0" applyNumberFormat="1" applyFont="1" applyFill="1" applyBorder="1" applyAlignment="1">
      <alignment horizontal="center"/>
    </xf>
    <xf numFmtId="0" fontId="0" fillId="32" borderId="4" xfId="0" applyFill="1" applyBorder="1"/>
    <xf numFmtId="0" fontId="1" fillId="4" borderId="4" xfId="0" applyFont="1" applyFill="1" applyBorder="1"/>
    <xf numFmtId="0" fontId="1" fillId="30" borderId="4" xfId="0" applyFont="1" applyFill="1" applyBorder="1"/>
    <xf numFmtId="0" fontId="0" fillId="26" borderId="4" xfId="0" applyFill="1" applyBorder="1"/>
    <xf numFmtId="0" fontId="0" fillId="25" borderId="4" xfId="0" applyFill="1" applyBorder="1"/>
    <xf numFmtId="0" fontId="0" fillId="5" borderId="4" xfId="0" applyFill="1" applyBorder="1"/>
    <xf numFmtId="0" fontId="0" fillId="33" borderId="4" xfId="0" applyFill="1" applyBorder="1"/>
    <xf numFmtId="0" fontId="9" fillId="15" borderId="4" xfId="0" applyFont="1" applyFill="1" applyBorder="1"/>
    <xf numFmtId="2" fontId="0" fillId="0" borderId="0" xfId="0" applyNumberFormat="1"/>
    <xf numFmtId="0" fontId="0" fillId="0" borderId="4" xfId="0" applyBorder="1" applyAlignment="1">
      <alignment horizontal="center"/>
    </xf>
    <xf numFmtId="0" fontId="0" fillId="32" borderId="4" xfId="0" applyFill="1" applyBorder="1" applyAlignment="1">
      <alignment horizontal="center"/>
    </xf>
    <xf numFmtId="0" fontId="0" fillId="34" borderId="4" xfId="0" applyFill="1" applyBorder="1"/>
    <xf numFmtId="9" fontId="0" fillId="34" borderId="4" xfId="0" applyNumberFormat="1" applyFill="1" applyBorder="1" applyAlignment="1">
      <alignment horizontal="center"/>
    </xf>
    <xf numFmtId="0" fontId="12" fillId="34" borderId="4" xfId="0" applyFont="1" applyFill="1" applyBorder="1"/>
    <xf numFmtId="0" fontId="2" fillId="15" borderId="4" xfId="0" applyFont="1" applyFill="1" applyBorder="1"/>
    <xf numFmtId="0" fontId="22" fillId="20" borderId="0" xfId="0" applyFont="1" applyFill="1"/>
    <xf numFmtId="10" fontId="0" fillId="0" borderId="4" xfId="0" applyNumberFormat="1" applyBorder="1"/>
    <xf numFmtId="10" fontId="0" fillId="32" borderId="4" xfId="0" applyNumberFormat="1" applyFill="1" applyBorder="1"/>
    <xf numFmtId="2" fontId="0" fillId="0" borderId="4" xfId="0" applyNumberFormat="1" applyBorder="1"/>
    <xf numFmtId="0" fontId="0" fillId="7" borderId="4" xfId="0" applyFill="1" applyBorder="1"/>
    <xf numFmtId="165" fontId="0" fillId="7" borderId="4" xfId="0" applyNumberFormat="1" applyFill="1" applyBorder="1"/>
    <xf numFmtId="165" fontId="0" fillId="26" borderId="4" xfId="0" applyNumberFormat="1" applyFill="1" applyBorder="1"/>
    <xf numFmtId="165" fontId="0" fillId="33" borderId="4" xfId="0" applyNumberFormat="1" applyFill="1" applyBorder="1"/>
    <xf numFmtId="0" fontId="0" fillId="35" borderId="4" xfId="0" applyFill="1" applyBorder="1"/>
    <xf numFmtId="165" fontId="0" fillId="35" borderId="4" xfId="0" applyNumberFormat="1" applyFill="1" applyBorder="1"/>
    <xf numFmtId="0" fontId="0" fillId="30" borderId="4" xfId="0" applyFill="1" applyBorder="1"/>
    <xf numFmtId="165" fontId="0" fillId="30" borderId="4" xfId="0" applyNumberFormat="1" applyFill="1" applyBorder="1"/>
    <xf numFmtId="165" fontId="0" fillId="19" borderId="4" xfId="0" applyNumberFormat="1" applyFill="1" applyBorder="1"/>
    <xf numFmtId="165" fontId="0" fillId="20" borderId="4" xfId="0" applyNumberFormat="1" applyFill="1" applyBorder="1"/>
    <xf numFmtId="0" fontId="0" fillId="36" borderId="4" xfId="0" applyFill="1" applyBorder="1"/>
    <xf numFmtId="165" fontId="0" fillId="36" borderId="4" xfId="0" applyNumberFormat="1" applyFill="1" applyBorder="1"/>
    <xf numFmtId="165" fontId="0" fillId="34" borderId="4" xfId="0" applyNumberFormat="1" applyFill="1" applyBorder="1"/>
    <xf numFmtId="165" fontId="0" fillId="21" borderId="4" xfId="0" applyNumberFormat="1" applyFill="1" applyBorder="1"/>
    <xf numFmtId="9" fontId="0" fillId="7" borderId="4" xfId="0" applyNumberFormat="1" applyFill="1" applyBorder="1" applyAlignment="1">
      <alignment horizontal="center"/>
    </xf>
    <xf numFmtId="9" fontId="0" fillId="26" borderId="4" xfId="0" applyNumberFormat="1" applyFill="1" applyBorder="1" applyAlignment="1">
      <alignment horizontal="center"/>
    </xf>
    <xf numFmtId="9" fontId="0" fillId="33" borderId="4" xfId="0" applyNumberFormat="1" applyFill="1" applyBorder="1" applyAlignment="1">
      <alignment horizontal="center"/>
    </xf>
    <xf numFmtId="9" fontId="0" fillId="35" borderId="4" xfId="0" applyNumberFormat="1" applyFill="1" applyBorder="1" applyAlignment="1">
      <alignment horizontal="center"/>
    </xf>
    <xf numFmtId="9" fontId="0" fillId="30" borderId="4" xfId="0" applyNumberFormat="1" applyFill="1" applyBorder="1" applyAlignment="1">
      <alignment horizontal="center"/>
    </xf>
    <xf numFmtId="9" fontId="0" fillId="19" borderId="4" xfId="0" applyNumberFormat="1" applyFill="1" applyBorder="1" applyAlignment="1">
      <alignment horizontal="center"/>
    </xf>
    <xf numFmtId="9" fontId="0" fillId="20" borderId="4" xfId="0" applyNumberFormat="1" applyFill="1" applyBorder="1" applyAlignment="1">
      <alignment horizontal="center"/>
    </xf>
    <xf numFmtId="9" fontId="0" fillId="36" borderId="4" xfId="0" applyNumberFormat="1" applyFill="1" applyBorder="1" applyAlignment="1">
      <alignment horizontal="center"/>
    </xf>
    <xf numFmtId="9" fontId="0" fillId="21" borderId="4" xfId="0" applyNumberFormat="1" applyFill="1" applyBorder="1" applyAlignment="1">
      <alignment horizontal="center"/>
    </xf>
    <xf numFmtId="0" fontId="4" fillId="30" borderId="4" xfId="0" applyFont="1" applyFill="1" applyBorder="1"/>
    <xf numFmtId="0" fontId="12" fillId="20" borderId="4" xfId="0" applyFont="1" applyFill="1" applyBorder="1"/>
    <xf numFmtId="0" fontId="12" fillId="36" borderId="4" xfId="0" applyFont="1" applyFill="1" applyBorder="1"/>
    <xf numFmtId="0" fontId="12" fillId="21" borderId="4" xfId="0" applyFont="1" applyFill="1" applyBorder="1"/>
    <xf numFmtId="0" fontId="2" fillId="31" borderId="4" xfId="0" applyFont="1" applyFill="1" applyBorder="1" applyAlignment="1">
      <alignment horizontal="center"/>
    </xf>
    <xf numFmtId="0" fontId="1" fillId="0" borderId="4" xfId="0" applyFont="1" applyBorder="1"/>
    <xf numFmtId="0" fontId="1" fillId="30" borderId="4" xfId="0" applyFont="1" applyFill="1" applyBorder="1" applyAlignment="1">
      <alignment horizontal="center"/>
    </xf>
    <xf numFmtId="10" fontId="0" fillId="32" borderId="4" xfId="0" applyNumberFormat="1" applyFill="1" applyBorder="1" applyAlignment="1">
      <alignment horizontal="center"/>
    </xf>
    <xf numFmtId="0" fontId="1" fillId="20" borderId="0" xfId="0" applyFont="1" applyFill="1"/>
    <xf numFmtId="10" fontId="0" fillId="0" borderId="4" xfId="0" applyNumberForma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31" borderId="4" xfId="0" applyFont="1" applyFill="1" applyBorder="1"/>
    <xf numFmtId="165" fontId="2" fillId="31" borderId="4" xfId="0" applyNumberFormat="1" applyFont="1" applyFill="1" applyBorder="1"/>
    <xf numFmtId="2" fontId="2" fillId="31" borderId="4" xfId="0" applyNumberFormat="1" applyFont="1" applyFill="1" applyBorder="1"/>
    <xf numFmtId="0" fontId="1" fillId="33" borderId="4" xfId="0" applyFont="1" applyFill="1" applyBorder="1"/>
    <xf numFmtId="0" fontId="4" fillId="31" borderId="0" xfId="0" applyFont="1" applyFill="1" applyAlignment="1">
      <alignment horizontal="center"/>
    </xf>
    <xf numFmtId="0" fontId="21" fillId="31" borderId="4" xfId="0" applyFont="1" applyFill="1" applyBorder="1" applyAlignment="1">
      <alignment horizontal="center"/>
    </xf>
    <xf numFmtId="0" fontId="4" fillId="31" borderId="4" xfId="0" applyFont="1" applyFill="1" applyBorder="1" applyAlignment="1">
      <alignment horizontal="center"/>
    </xf>
    <xf numFmtId="0" fontId="12" fillId="27" borderId="0" xfId="0" applyFont="1" applyFill="1"/>
    <xf numFmtId="0" fontId="22" fillId="30" borderId="4" xfId="0" applyFont="1" applyFill="1" applyBorder="1"/>
    <xf numFmtId="0" fontId="1" fillId="7" borderId="8" xfId="0" applyFont="1" applyFill="1" applyBorder="1" applyAlignment="1">
      <alignment vertical="center"/>
    </xf>
    <xf numFmtId="0" fontId="1" fillId="7" borderId="6" xfId="0" applyFont="1" applyFill="1" applyBorder="1" applyAlignment="1">
      <alignment vertical="center"/>
    </xf>
    <xf numFmtId="0" fontId="1" fillId="7" borderId="7" xfId="0" applyFont="1" applyFill="1" applyBorder="1" applyAlignment="1">
      <alignment vertical="center"/>
    </xf>
    <xf numFmtId="0" fontId="1" fillId="26" borderId="8" xfId="0" applyFont="1" applyFill="1" applyBorder="1" applyAlignment="1">
      <alignment vertical="center"/>
    </xf>
    <xf numFmtId="0" fontId="1" fillId="26" borderId="6" xfId="0" applyFont="1" applyFill="1" applyBorder="1" applyAlignment="1">
      <alignment vertical="center"/>
    </xf>
    <xf numFmtId="0" fontId="1" fillId="26" borderId="7" xfId="0" applyFont="1" applyFill="1" applyBorder="1" applyAlignment="1">
      <alignment vertical="center"/>
    </xf>
    <xf numFmtId="0" fontId="1" fillId="33" borderId="8" xfId="0" applyFont="1" applyFill="1" applyBorder="1" applyAlignment="1">
      <alignment vertical="center"/>
    </xf>
    <xf numFmtId="0" fontId="1" fillId="33" borderId="6" xfId="0" applyFont="1" applyFill="1" applyBorder="1" applyAlignment="1">
      <alignment vertical="center"/>
    </xf>
    <xf numFmtId="0" fontId="1" fillId="33" borderId="7" xfId="0" applyFont="1" applyFill="1" applyBorder="1" applyAlignment="1">
      <alignment vertical="center"/>
    </xf>
    <xf numFmtId="0" fontId="1" fillId="35" borderId="8" xfId="0" applyFont="1" applyFill="1" applyBorder="1" applyAlignment="1">
      <alignment vertical="center"/>
    </xf>
    <xf numFmtId="0" fontId="1" fillId="35" borderId="6" xfId="0" applyFont="1" applyFill="1" applyBorder="1" applyAlignment="1">
      <alignment vertical="center"/>
    </xf>
    <xf numFmtId="0" fontId="1" fillId="35" borderId="7" xfId="0" applyFont="1" applyFill="1" applyBorder="1" applyAlignment="1">
      <alignment vertical="center"/>
    </xf>
    <xf numFmtId="0" fontId="1" fillId="30" borderId="8" xfId="0" applyFont="1" applyFill="1" applyBorder="1" applyAlignment="1">
      <alignment vertical="center"/>
    </xf>
    <xf numFmtId="0" fontId="1" fillId="30" borderId="6" xfId="0" applyFont="1" applyFill="1" applyBorder="1" applyAlignment="1">
      <alignment vertical="center"/>
    </xf>
    <xf numFmtId="0" fontId="1" fillId="30" borderId="7" xfId="0" applyFont="1" applyFill="1" applyBorder="1" applyAlignment="1">
      <alignment vertical="center"/>
    </xf>
    <xf numFmtId="0" fontId="1" fillId="19" borderId="8" xfId="0" applyFont="1" applyFill="1" applyBorder="1" applyAlignment="1">
      <alignment vertical="center"/>
    </xf>
    <xf numFmtId="0" fontId="1" fillId="19" borderId="6" xfId="0" applyFont="1" applyFill="1" applyBorder="1" applyAlignment="1">
      <alignment vertical="center"/>
    </xf>
    <xf numFmtId="0" fontId="1" fillId="19" borderId="7" xfId="0" applyFont="1" applyFill="1" applyBorder="1" applyAlignment="1">
      <alignment vertical="center"/>
    </xf>
    <xf numFmtId="0" fontId="1" fillId="38" borderId="0" xfId="0" applyFont="1" applyFill="1"/>
    <xf numFmtId="0" fontId="23" fillId="0" borderId="0" xfId="0" applyFont="1"/>
    <xf numFmtId="0" fontId="1" fillId="4" borderId="18" xfId="0" applyFont="1" applyFill="1" applyBorder="1"/>
    <xf numFmtId="20" fontId="0" fillId="0" borderId="0" xfId="0" applyNumberFormat="1"/>
    <xf numFmtId="0" fontId="1" fillId="21" borderId="0" xfId="0" applyFont="1" applyFill="1"/>
    <xf numFmtId="0" fontId="1" fillId="3" borderId="0" xfId="0" applyFont="1" applyFill="1"/>
    <xf numFmtId="0" fontId="1" fillId="39" borderId="0" xfId="0" applyFont="1" applyFill="1"/>
    <xf numFmtId="15" fontId="0" fillId="0" borderId="0" xfId="0" applyNumberFormat="1"/>
    <xf numFmtId="0" fontId="4" fillId="15" borderId="0" xfId="0" applyFont="1" applyFill="1"/>
    <xf numFmtId="0" fontId="8" fillId="0" borderId="3" xfId="0" applyFont="1" applyBorder="1"/>
    <xf numFmtId="0" fontId="8" fillId="0" borderId="0" xfId="0" applyFont="1"/>
    <xf numFmtId="0" fontId="4" fillId="13" borderId="0" xfId="0" applyFont="1" applyFill="1"/>
    <xf numFmtId="0" fontId="0" fillId="0" borderId="3" xfId="0" applyBorder="1"/>
    <xf numFmtId="0" fontId="0" fillId="0" borderId="0" xfId="0"/>
    <xf numFmtId="0" fontId="4" fillId="6" borderId="0" xfId="0" applyFont="1" applyFill="1"/>
    <xf numFmtId="0" fontId="4" fillId="8" borderId="0" xfId="0" applyFont="1" applyFill="1"/>
    <xf numFmtId="0" fontId="4" fillId="10" borderId="0" xfId="0" applyFont="1" applyFill="1"/>
    <xf numFmtId="0" fontId="4" fillId="12" borderId="0" xfId="0" applyFont="1" applyFill="1"/>
    <xf numFmtId="0" fontId="3" fillId="37" borderId="0" xfId="0" applyFont="1" applyFill="1" applyAlignment="1">
      <alignment horizontal="center"/>
    </xf>
    <xf numFmtId="0" fontId="12" fillId="0" borderId="0" xfId="0" applyFont="1" applyAlignment="1">
      <alignment horizontal="center"/>
    </xf>
    <xf numFmtId="0" fontId="10" fillId="3" borderId="0" xfId="0" applyFont="1" applyFill="1"/>
    <xf numFmtId="0" fontId="14" fillId="28" borderId="0" xfId="0" applyFont="1" applyFill="1"/>
    <xf numFmtId="0" fontId="13" fillId="0" borderId="0" xfId="0" applyFont="1"/>
    <xf numFmtId="0" fontId="21" fillId="22" borderId="0" xfId="0" applyFont="1" applyFill="1"/>
    <xf numFmtId="0" fontId="6" fillId="0" borderId="0" xfId="0" applyFont="1"/>
    <xf numFmtId="0" fontId="12" fillId="0" borderId="0" xfId="0" applyFont="1" applyAlignment="1">
      <alignment wrapText="1"/>
    </xf>
    <xf numFmtId="0" fontId="1" fillId="20" borderId="0" xfId="0" applyFont="1" applyFill="1"/>
    <xf numFmtId="0" fontId="4" fillId="31" borderId="0" xfId="0" applyFont="1" applyFill="1"/>
    <xf numFmtId="0" fontId="2" fillId="31" borderId="4" xfId="0" applyFont="1" applyFill="1" applyBorder="1"/>
    <xf numFmtId="0" fontId="1" fillId="0" borderId="4" xfId="0" applyFont="1" applyBorder="1"/>
    <xf numFmtId="0" fontId="1" fillId="36" borderId="8" xfId="0" applyFont="1" applyFill="1" applyBorder="1" applyAlignment="1">
      <alignment vertical="center"/>
    </xf>
    <xf numFmtId="0" fontId="1" fillId="36" borderId="7" xfId="0" applyFont="1" applyFill="1" applyBorder="1" applyAlignment="1">
      <alignment vertical="center"/>
    </xf>
    <xf numFmtId="0" fontId="1" fillId="34" borderId="8" xfId="0" applyFont="1" applyFill="1" applyBorder="1" applyAlignment="1">
      <alignment vertical="center"/>
    </xf>
    <xf numFmtId="0" fontId="1" fillId="34" borderId="6" xfId="0" applyFont="1" applyFill="1" applyBorder="1" applyAlignment="1">
      <alignment vertical="center"/>
    </xf>
    <xf numFmtId="0" fontId="1" fillId="34" borderId="7" xfId="0" applyFont="1" applyFill="1" applyBorder="1" applyAlignment="1">
      <alignment vertical="center"/>
    </xf>
    <xf numFmtId="0" fontId="1" fillId="21" borderId="8" xfId="0" applyFont="1" applyFill="1" applyBorder="1" applyAlignment="1">
      <alignment vertical="center"/>
    </xf>
    <xf numFmtId="0" fontId="1" fillId="21" borderId="7" xfId="0" applyFont="1" applyFill="1" applyBorder="1" applyAlignment="1">
      <alignment vertical="center"/>
    </xf>
    <xf numFmtId="0" fontId="2" fillId="6" borderId="4" xfId="0" applyFont="1" applyFill="1" applyBorder="1"/>
    <xf numFmtId="0" fontId="0" fillId="0" borderId="4" xfId="0" applyBorder="1"/>
    <xf numFmtId="0" fontId="1" fillId="20" borderId="8" xfId="0" applyFont="1" applyFill="1" applyBorder="1" applyAlignment="1">
      <alignment vertical="center"/>
    </xf>
    <xf numFmtId="0" fontId="1" fillId="20" borderId="6" xfId="0" applyFont="1" applyFill="1" applyBorder="1" applyAlignment="1">
      <alignment vertical="center"/>
    </xf>
    <xf numFmtId="0" fontId="1" fillId="20" borderId="7" xfId="0" applyFont="1" applyFill="1" applyBorder="1" applyAlignment="1">
      <alignment vertical="center"/>
    </xf>
    <xf numFmtId="0" fontId="14" fillId="15" borderId="0" xfId="0" applyFont="1" applyFill="1"/>
    <xf numFmtId="0" fontId="12" fillId="0" borderId="0" xfId="0" applyFont="1"/>
    <xf numFmtId="0" fontId="21" fillId="2" borderId="0" xfId="0" applyFont="1" applyFill="1"/>
    <xf numFmtId="0" fontId="14" fillId="2" borderId="0" xfId="0" applyFont="1" applyFill="1"/>
  </cellXfs>
  <cellStyles count="1">
    <cellStyle name="Normal" xfId="0" builtinId="0"/>
  </cellStyles>
  <dxfs count="90">
    <dxf>
      <font>
        <b/>
        <i val="0"/>
        <color rgb="FFFFFFFF"/>
      </font>
      <fill>
        <patternFill patternType="solid">
          <fgColor indexed="64"/>
          <bgColor rgb="FFFF0000"/>
        </patternFill>
      </fill>
    </dxf>
    <dxf>
      <font>
        <b/>
        <i val="0"/>
      </font>
      <fill>
        <patternFill patternType="solid">
          <fgColor indexed="64"/>
          <bgColor rgb="FFFFC7CE"/>
        </patternFill>
      </fill>
    </dxf>
    <dxf>
      <fill>
        <patternFill patternType="solid">
          <fgColor indexed="64"/>
          <bgColor rgb="FFC6EFCE"/>
        </patternFill>
      </fill>
    </dxf>
    <dxf>
      <fill>
        <patternFill patternType="solid">
          <fgColor indexed="64"/>
          <bgColor rgb="FFFFC000"/>
        </patternFill>
      </fill>
    </dxf>
    <dxf>
      <fill>
        <patternFill patternType="solid">
          <fgColor indexed="64"/>
          <bgColor rgb="FFFF6B6B"/>
        </patternFill>
      </fill>
    </dxf>
    <dxf>
      <font>
        <color rgb="FFFFFFFF"/>
      </font>
      <fill>
        <patternFill patternType="solid">
          <fgColor indexed="64"/>
          <bgColor rgb="FFC00000"/>
        </patternFill>
      </fill>
    </dxf>
    <dxf>
      <fill>
        <patternFill patternType="solid">
          <fgColor indexed="64"/>
          <bgColor rgb="FFC6EFCE"/>
        </patternFill>
      </fill>
    </dxf>
    <dxf>
      <fill>
        <patternFill patternType="solid">
          <fgColor indexed="64"/>
          <bgColor rgb="FFFFEB9C"/>
        </patternFill>
      </fill>
    </dxf>
    <dxf>
      <fill>
        <patternFill patternType="solid">
          <fgColor indexed="64"/>
          <bgColor rgb="FFFFC000"/>
        </patternFill>
      </fill>
    </dxf>
    <dxf>
      <font>
        <b/>
        <i val="0"/>
      </font>
      <fill>
        <patternFill patternType="solid">
          <fgColor indexed="64"/>
          <bgColor rgb="FFFF6B6B"/>
        </patternFill>
      </fill>
    </dxf>
    <dxf>
      <fill>
        <patternFill patternType="solid">
          <fgColor indexed="64"/>
          <bgColor rgb="FFFFC000"/>
        </patternFill>
      </fill>
    </dxf>
    <dxf>
      <font>
        <color rgb="FFFFFFFF"/>
      </font>
      <fill>
        <patternFill patternType="solid">
          <fgColor indexed="64"/>
          <bgColor rgb="FFFF6B6B"/>
        </patternFill>
      </fill>
    </dxf>
    <dxf>
      <fill>
        <patternFill patternType="solid">
          <fgColor indexed="64"/>
          <bgColor rgb="FFFFF2CC"/>
        </patternFill>
      </fill>
    </dxf>
    <dxf>
      <fill>
        <patternFill patternType="solid">
          <fgColor indexed="64"/>
          <bgColor rgb="FFC6EFCE"/>
        </patternFill>
      </fill>
    </dxf>
    <dxf>
      <fill>
        <patternFill patternType="solid">
          <fgColor indexed="64"/>
          <bgColor rgb="FF92D050"/>
        </patternFill>
      </fill>
    </dxf>
    <dxf>
      <fill>
        <patternFill patternType="solid">
          <fgColor indexed="64"/>
          <bgColor rgb="FFFFC000"/>
        </patternFill>
      </fill>
    </dxf>
    <dxf>
      <font>
        <color rgb="FFFFFFFF"/>
      </font>
      <fill>
        <patternFill patternType="solid">
          <fgColor indexed="64"/>
          <bgColor rgb="FFFF6B6B"/>
        </patternFill>
      </fill>
    </dxf>
    <dxf>
      <fill>
        <patternFill patternType="solid">
          <fgColor indexed="64"/>
          <bgColor rgb="FFC6EFCE"/>
        </patternFill>
      </fill>
    </dxf>
    <dxf>
      <fill>
        <patternFill patternType="solid">
          <fgColor indexed="64"/>
          <bgColor rgb="FFBDD7EE"/>
        </patternFill>
      </fill>
    </dxf>
    <dxf>
      <fill>
        <patternFill patternType="solid">
          <fgColor indexed="64"/>
          <bgColor rgb="FFFFC000"/>
        </patternFill>
      </fill>
    </dxf>
    <dxf>
      <fill>
        <patternFill patternType="solid">
          <fgColor indexed="64"/>
          <bgColor rgb="FFFF6B6B"/>
        </patternFill>
      </fill>
    </dxf>
    <dxf>
      <font>
        <color rgb="FFFFFFFF"/>
      </font>
      <fill>
        <patternFill patternType="solid">
          <fgColor indexed="64"/>
          <bgColor rgb="FFC00000"/>
        </patternFill>
      </fill>
    </dxf>
    <dxf>
      <fill>
        <patternFill patternType="solid">
          <fgColor indexed="64"/>
          <bgColor rgb="FFC6EFCE"/>
        </patternFill>
      </fill>
    </dxf>
    <dxf>
      <fill>
        <patternFill patternType="solid">
          <fgColor indexed="64"/>
          <bgColor rgb="FFFFC000"/>
        </patternFill>
      </fill>
    </dxf>
    <dxf>
      <fill>
        <patternFill patternType="solid">
          <fgColor indexed="64"/>
          <bgColor rgb="FFFF6B6B"/>
        </patternFill>
      </fill>
    </dxf>
    <dxf>
      <font>
        <b/>
        <i val="0"/>
        <color rgb="FFFFFFFF"/>
      </font>
      <fill>
        <patternFill patternType="solid">
          <fgColor indexed="64"/>
          <bgColor rgb="FFC00000"/>
        </patternFill>
      </fill>
    </dxf>
    <dxf>
      <fill>
        <patternFill patternType="solid">
          <fgColor indexed="64"/>
          <bgColor rgb="FFD9D9D9"/>
        </patternFill>
      </fill>
    </dxf>
    <dxf>
      <fill>
        <patternFill patternType="solid">
          <fgColor indexed="64"/>
          <bgColor rgb="FFE2EFDA"/>
        </patternFill>
      </fill>
    </dxf>
    <dxf>
      <fill>
        <patternFill patternType="solid">
          <fgColor indexed="64"/>
          <bgColor rgb="FFBDD7EE"/>
        </patternFill>
      </fill>
    </dxf>
    <dxf>
      <fill>
        <patternFill patternType="solid">
          <fgColor indexed="64"/>
          <bgColor rgb="FFFFC000"/>
        </patternFill>
      </fill>
    </dxf>
    <dxf>
      <fill>
        <patternFill patternType="solid">
          <fgColor indexed="64"/>
          <bgColor rgb="FFFF6B6B"/>
        </patternFill>
      </fill>
    </dxf>
    <dxf>
      <font>
        <b/>
        <i val="0"/>
        <color rgb="FFFFFFFF"/>
      </font>
      <fill>
        <patternFill patternType="solid">
          <fgColor indexed="64"/>
          <bgColor rgb="FFC00000"/>
        </patternFill>
      </fill>
    </dxf>
    <dxf>
      <fill>
        <patternFill patternType="solid">
          <fgColor indexed="64"/>
          <bgColor rgb="FFC6EFCE"/>
        </patternFill>
      </fill>
    </dxf>
    <dxf>
      <fill>
        <patternFill patternType="solid">
          <fgColor indexed="64"/>
          <bgColor rgb="FFFFC000"/>
        </patternFill>
      </fill>
    </dxf>
    <dxf>
      <font>
        <b/>
        <i val="0"/>
      </font>
      <fill>
        <patternFill patternType="solid">
          <fgColor indexed="64"/>
          <bgColor rgb="FFFF6B6B"/>
        </patternFill>
      </fill>
    </dxf>
    <dxf>
      <font>
        <b/>
        <i val="0"/>
        <color rgb="FFFFFFFF"/>
      </font>
      <fill>
        <patternFill patternType="solid">
          <fgColor indexed="64"/>
          <bgColor rgb="FFC00000"/>
        </patternFill>
      </fill>
    </dxf>
    <dxf>
      <font>
        <b val="0"/>
        <i/>
      </font>
      <fill>
        <patternFill patternType="solid">
          <fgColor indexed="64"/>
          <bgColor rgb="FFFCE4D6"/>
        </patternFill>
      </fill>
    </dxf>
    <dxf>
      <font>
        <b/>
        <i val="0"/>
        <color rgb="FFFFFFFF"/>
      </font>
      <fill>
        <patternFill patternType="solid">
          <fgColor indexed="64"/>
          <bgColor rgb="FFC00000"/>
        </patternFill>
      </fill>
    </dxf>
    <dxf>
      <font>
        <b/>
        <i val="0"/>
        <color rgb="FF833C0C"/>
      </font>
      <fill>
        <patternFill patternType="solid">
          <fgColor indexed="64"/>
          <bgColor rgb="FFF4B084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833C0C"/>
      </font>
      <fill>
        <patternFill patternType="solid">
          <fgColor indexed="64"/>
          <bgColor rgb="FFF4B084"/>
        </patternFill>
      </fill>
    </dxf>
    <dxf>
      <font>
        <b/>
        <i val="0"/>
        <color rgb="FFFFFFFF"/>
      </font>
      <fill>
        <patternFill patternType="solid">
          <fgColor indexed="64"/>
          <bgColor rgb="FFC00000"/>
        </patternFill>
      </fill>
    </dxf>
    <dxf>
      <font>
        <b/>
        <i val="0"/>
      </font>
      <fill>
        <patternFill patternType="solid">
          <fgColor indexed="64"/>
          <bgColor rgb="FFFF6B6B"/>
        </patternFill>
      </fill>
    </dxf>
    <dxf>
      <fill>
        <patternFill patternType="solid">
          <fgColor indexed="64"/>
          <bgColor rgb="FFC6EFCE"/>
        </patternFill>
      </fill>
    </dxf>
    <dxf>
      <fill>
        <patternFill patternType="solid">
          <fgColor indexed="64"/>
          <bgColor rgb="FF00B0F0"/>
        </patternFill>
      </fill>
    </dxf>
    <dxf>
      <font>
        <b/>
        <i val="0"/>
      </font>
      <fill>
        <patternFill patternType="solid">
          <fgColor indexed="64"/>
          <bgColor rgb="FF8E7CC3"/>
        </patternFill>
      </fill>
    </dxf>
    <dxf>
      <fill>
        <patternFill patternType="solid">
          <fgColor indexed="64"/>
          <bgColor rgb="FFB4A7D6"/>
        </patternFill>
      </fill>
    </dxf>
    <dxf>
      <font>
        <b/>
        <i val="0"/>
        <color rgb="FFFFFFFF"/>
      </font>
      <fill>
        <patternFill patternType="solid">
          <fgColor indexed="64"/>
          <bgColor rgb="FFFF6B6B"/>
        </patternFill>
      </fill>
    </dxf>
    <dxf>
      <font>
        <color rgb="FFFFFFFF"/>
      </font>
      <fill>
        <patternFill patternType="solid">
          <fgColor indexed="64"/>
          <bgColor rgb="FFFF6B6B"/>
        </patternFill>
      </fill>
    </dxf>
    <dxf>
      <fill>
        <patternFill patternType="solid">
          <fgColor indexed="64"/>
          <bgColor rgb="FFE0E0E0"/>
        </patternFill>
      </fill>
    </dxf>
    <dxf>
      <fill>
        <patternFill patternType="solid">
          <fgColor indexed="64"/>
          <bgColor rgb="FFFFF2CC"/>
        </patternFill>
      </fill>
    </dxf>
    <dxf>
      <fill>
        <patternFill patternType="solid">
          <fgColor indexed="64"/>
          <bgColor rgb="FFC6EFCE"/>
        </patternFill>
      </fill>
    </dxf>
    <dxf>
      <fill>
        <patternFill patternType="solid">
          <fgColor indexed="64"/>
          <bgColor rgb="FFBFBFBF"/>
        </patternFill>
      </fill>
    </dxf>
    <dxf>
      <font>
        <color rgb="FFFFFFFF"/>
      </font>
      <fill>
        <patternFill patternType="solid">
          <fgColor indexed="64"/>
          <bgColor rgb="FFFF6B6B"/>
        </patternFill>
      </fill>
    </dxf>
    <dxf>
      <fill>
        <patternFill patternType="solid">
          <fgColor indexed="64"/>
          <bgColor rgb="FF92D050"/>
        </patternFill>
      </fill>
    </dxf>
    <dxf>
      <fill>
        <patternFill patternType="solid">
          <fgColor indexed="64"/>
          <bgColor rgb="FFA9D08E"/>
        </patternFill>
      </fill>
    </dxf>
    <dxf>
      <fill>
        <patternFill patternType="solid">
          <fgColor indexed="64"/>
          <bgColor rgb="FFFFEB9C"/>
        </patternFill>
      </fill>
    </dxf>
    <dxf>
      <fill>
        <patternFill patternType="solid">
          <fgColor indexed="64"/>
          <bgColor rgb="FFC6EFCE"/>
        </patternFill>
      </fill>
    </dxf>
    <dxf>
      <fill>
        <patternFill patternType="solid">
          <fgColor indexed="64"/>
          <bgColor rgb="FFFCE4D6"/>
        </patternFill>
      </fill>
    </dxf>
    <dxf>
      <fill>
        <patternFill patternType="solid">
          <fgColor indexed="64"/>
          <bgColor rgb="FFFFF2CC"/>
        </patternFill>
      </fill>
    </dxf>
    <dxf>
      <fill>
        <patternFill patternType="solid">
          <fgColor indexed="64"/>
          <bgColor rgb="FFB4C7E7"/>
        </patternFill>
      </fill>
    </dxf>
    <dxf>
      <fill>
        <patternFill patternType="solid">
          <fgColor indexed="64"/>
          <bgColor rgb="FFE0E0E0"/>
        </patternFill>
      </fill>
    </dxf>
    <dxf>
      <fill>
        <patternFill patternType="solid">
          <fgColor indexed="64"/>
          <bgColor rgb="FFB4A7D6"/>
        </patternFill>
      </fill>
    </dxf>
    <dxf>
      <font>
        <b/>
        <i val="0"/>
      </font>
      <fill>
        <patternFill patternType="solid">
          <fgColor indexed="64"/>
          <bgColor rgb="FFFF6B6B"/>
        </patternFill>
      </fill>
    </dxf>
    <dxf>
      <fill>
        <patternFill patternType="solid">
          <fgColor indexed="64"/>
          <bgColor rgb="FFFFC000"/>
        </patternFill>
      </fill>
    </dxf>
    <dxf>
      <fill>
        <patternFill patternType="solid">
          <fgColor indexed="64"/>
          <bgColor rgb="FFFFF2CC"/>
        </patternFill>
      </fill>
    </dxf>
    <dxf>
      <fill>
        <patternFill patternType="solid">
          <fgColor indexed="64"/>
          <bgColor rgb="FFC6EFCE"/>
        </patternFill>
      </fill>
    </dxf>
    <dxf>
      <fill>
        <patternFill patternType="solid">
          <fgColor indexed="64"/>
          <bgColor rgb="FFFFEB9C"/>
        </patternFill>
      </fill>
    </dxf>
    <dxf>
      <fill>
        <patternFill patternType="solid">
          <fgColor indexed="64"/>
          <bgColor rgb="FFFFC000"/>
        </patternFill>
      </fill>
    </dxf>
    <dxf>
      <font>
        <b/>
        <i val="0"/>
      </font>
      <fill>
        <patternFill patternType="solid">
          <fgColor indexed="64"/>
          <bgColor rgb="FFFF6B6B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ill>
        <patternFill patternType="solid">
          <fgColor indexed="64"/>
          <bgColor rgb="FFFFEB9C"/>
        </patternFill>
      </fill>
    </dxf>
    <dxf>
      <fill>
        <patternFill patternType="solid">
          <fgColor indexed="64"/>
          <bgColor rgb="FFA9D08E"/>
        </patternFill>
      </fill>
    </dxf>
    <dxf>
      <font>
        <color rgb="FFFFFFFF"/>
      </font>
      <fill>
        <patternFill patternType="solid">
          <fgColor indexed="64"/>
          <bgColor rgb="FFFF6B6B"/>
        </patternFill>
      </fill>
    </dxf>
    <dxf>
      <fill>
        <patternFill patternType="solid">
          <fgColor indexed="64"/>
          <bgColor rgb="FFBFBFBF"/>
        </patternFill>
      </fill>
    </dxf>
    <dxf>
      <fill>
        <patternFill patternType="solid">
          <fgColor indexed="64"/>
          <bgColor rgb="FFFCE4D6"/>
        </patternFill>
      </fill>
    </dxf>
    <dxf>
      <fill>
        <patternFill patternType="solid">
          <fgColor indexed="64"/>
          <bgColor rgb="FFFFF2CC"/>
        </patternFill>
      </fill>
    </dxf>
    <dxf>
      <fill>
        <patternFill patternType="solid">
          <fgColor indexed="64"/>
          <bgColor rgb="FFB4C7E7"/>
        </patternFill>
      </fill>
    </dxf>
    <dxf>
      <fill>
        <patternFill patternType="solid">
          <fgColor indexed="64"/>
          <bgColor rgb="FFE0E0E0"/>
        </patternFill>
      </fill>
    </dxf>
    <dxf>
      <fill>
        <patternFill patternType="solid">
          <fgColor indexed="64"/>
          <bgColor rgb="FFC6EFCE"/>
        </patternFill>
      </fill>
    </dxf>
    <dxf>
      <fill>
        <patternFill patternType="solid">
          <fgColor indexed="64"/>
          <bgColor rgb="FFFBE5D6"/>
        </patternFill>
      </fill>
    </dxf>
    <dxf>
      <font>
        <b/>
        <i val="0"/>
      </font>
      <fill>
        <patternFill patternType="solid">
          <fgColor indexed="64"/>
          <bgColor rgb="FFFFC7CE"/>
        </patternFill>
      </fill>
    </dxf>
    <dxf>
      <fill>
        <patternFill patternType="solid">
          <fgColor indexed="64"/>
          <bgColor rgb="FFFFF2CC"/>
        </patternFill>
      </fill>
    </dxf>
    <dxf>
      <fill>
        <patternFill patternType="solid">
          <fgColor indexed="64"/>
          <bgColor rgb="FFFBE5D6"/>
        </patternFill>
      </fill>
    </dxf>
    <dxf>
      <font>
        <b/>
        <i val="0"/>
      </font>
      <fill>
        <patternFill patternType="solid">
          <fgColor indexed="64"/>
          <bgColor rgb="FFD9E1F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microsoft.com/office/2017/10/relationships/person" Target="persons/perso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C164A2-C25F-4C0C-BCEC-A92D8BF84358}">
  <dimension ref="A1:F810"/>
  <sheetViews>
    <sheetView tabSelected="1" workbookViewId="0">
      <pane ySplit="3" topLeftCell="A163" activePane="bottomLeft" state="frozen"/>
      <selection pane="bottomLeft" activeCell="H3" sqref="H3"/>
    </sheetView>
  </sheetViews>
  <sheetFormatPr defaultRowHeight="14.4" x14ac:dyDescent="0.3"/>
  <cols>
    <col min="1" max="1" width="37" customWidth="1"/>
    <col min="2" max="6" width="33.33203125" customWidth="1"/>
  </cols>
  <sheetData>
    <row r="1" spans="1:1" x14ac:dyDescent="0.3">
      <c r="A1" s="1" t="s">
        <v>3573</v>
      </c>
    </row>
    <row r="2" spans="1:1" ht="25.05" customHeight="1" x14ac:dyDescent="0.4">
      <c r="A2" s="59" t="s">
        <v>3574</v>
      </c>
    </row>
    <row r="3" spans="1:1" x14ac:dyDescent="0.3">
      <c r="A3" s="1" t="s">
        <v>3573</v>
      </c>
    </row>
    <row r="5" spans="1:1" x14ac:dyDescent="0.3">
      <c r="A5" s="1" t="s">
        <v>3575</v>
      </c>
    </row>
    <row r="6" spans="1:1" x14ac:dyDescent="0.3">
      <c r="A6" t="s">
        <v>3576</v>
      </c>
    </row>
    <row r="7" spans="1:1" x14ac:dyDescent="0.3">
      <c r="A7" t="s">
        <v>3577</v>
      </c>
    </row>
    <row r="8" spans="1:1" x14ac:dyDescent="0.3">
      <c r="A8" t="s">
        <v>3578</v>
      </c>
    </row>
    <row r="10" spans="1:1" x14ac:dyDescent="0.3">
      <c r="A10" s="1" t="s">
        <v>3579</v>
      </c>
    </row>
    <row r="11" spans="1:1" x14ac:dyDescent="0.3">
      <c r="A11" t="s">
        <v>3580</v>
      </c>
    </row>
    <row r="12" spans="1:1" x14ac:dyDescent="0.3">
      <c r="A12" t="s">
        <v>3581</v>
      </c>
    </row>
    <row r="13" spans="1:1" x14ac:dyDescent="0.3">
      <c r="A13" t="s">
        <v>3582</v>
      </c>
    </row>
    <row r="14" spans="1:1" x14ac:dyDescent="0.3">
      <c r="A14" t="s">
        <v>3583</v>
      </c>
    </row>
    <row r="15" spans="1:1" x14ac:dyDescent="0.3">
      <c r="A15" t="s">
        <v>3584</v>
      </c>
    </row>
    <row r="17" spans="1:4" x14ac:dyDescent="0.3">
      <c r="A17" s="1" t="s">
        <v>3573</v>
      </c>
    </row>
    <row r="18" spans="1:4" x14ac:dyDescent="0.3">
      <c r="A18" s="1" t="s">
        <v>3585</v>
      </c>
    </row>
    <row r="19" spans="1:4" x14ac:dyDescent="0.3">
      <c r="A19" s="1" t="s">
        <v>3573</v>
      </c>
    </row>
    <row r="21" spans="1:4" x14ac:dyDescent="0.3">
      <c r="A21" s="1" t="s">
        <v>3586</v>
      </c>
    </row>
    <row r="22" spans="1:4" x14ac:dyDescent="0.3">
      <c r="A22" s="67" t="s">
        <v>3587</v>
      </c>
      <c r="B22" s="67" t="s">
        <v>2762</v>
      </c>
      <c r="C22" s="67" t="s">
        <v>3588</v>
      </c>
      <c r="D22" s="67" t="s">
        <v>3589</v>
      </c>
    </row>
    <row r="23" spans="1:4" x14ac:dyDescent="0.3">
      <c r="A23" t="s">
        <v>0</v>
      </c>
      <c r="B23">
        <v>8</v>
      </c>
      <c r="C23" t="s">
        <v>3590</v>
      </c>
      <c r="D23" t="s">
        <v>3591</v>
      </c>
    </row>
    <row r="24" spans="1:4" x14ac:dyDescent="0.3">
      <c r="A24" t="s">
        <v>1920</v>
      </c>
      <c r="B24">
        <v>84</v>
      </c>
      <c r="C24" t="s">
        <v>3592</v>
      </c>
      <c r="D24" t="s">
        <v>1920</v>
      </c>
    </row>
    <row r="25" spans="1:4" x14ac:dyDescent="0.3">
      <c r="A25" t="s">
        <v>3593</v>
      </c>
      <c r="B25">
        <v>504</v>
      </c>
      <c r="C25" t="s">
        <v>3594</v>
      </c>
      <c r="D25" t="s">
        <v>3595</v>
      </c>
    </row>
    <row r="26" spans="1:4" x14ac:dyDescent="0.3">
      <c r="A26" t="s">
        <v>1925</v>
      </c>
      <c r="B26">
        <v>100</v>
      </c>
      <c r="C26" t="s">
        <v>3596</v>
      </c>
      <c r="D26" t="s">
        <v>1925</v>
      </c>
    </row>
    <row r="27" spans="1:4" x14ac:dyDescent="0.3">
      <c r="A27" t="s">
        <v>3597</v>
      </c>
      <c r="B27">
        <v>12</v>
      </c>
      <c r="C27" t="s">
        <v>3598</v>
      </c>
      <c r="D27" t="s">
        <v>1924</v>
      </c>
    </row>
    <row r="28" spans="1:4" x14ac:dyDescent="0.3">
      <c r="A28" t="s">
        <v>1927</v>
      </c>
      <c r="B28">
        <v>12</v>
      </c>
      <c r="C28" t="s">
        <v>3599</v>
      </c>
      <c r="D28" t="s">
        <v>1927</v>
      </c>
    </row>
    <row r="29" spans="1:4" x14ac:dyDescent="0.3">
      <c r="A29" t="s">
        <v>1921</v>
      </c>
      <c r="B29">
        <v>80</v>
      </c>
      <c r="C29" t="s">
        <v>3600</v>
      </c>
      <c r="D29" t="s">
        <v>1921</v>
      </c>
    </row>
    <row r="30" spans="1:4" x14ac:dyDescent="0.3">
      <c r="A30" t="s">
        <v>3601</v>
      </c>
      <c r="B30" t="s">
        <v>3602</v>
      </c>
      <c r="C30" t="s">
        <v>3603</v>
      </c>
      <c r="D30" t="s">
        <v>1922</v>
      </c>
    </row>
    <row r="31" spans="1:4" x14ac:dyDescent="0.3">
      <c r="A31" t="s">
        <v>3604</v>
      </c>
      <c r="B31">
        <v>166</v>
      </c>
      <c r="C31" t="s">
        <v>3605</v>
      </c>
      <c r="D31" t="s">
        <v>2273</v>
      </c>
    </row>
    <row r="32" spans="1:4" x14ac:dyDescent="0.3">
      <c r="A32" t="s">
        <v>3606</v>
      </c>
      <c r="B32">
        <v>31</v>
      </c>
      <c r="C32" t="s">
        <v>3607</v>
      </c>
      <c r="D32" t="s">
        <v>2548</v>
      </c>
    </row>
    <row r="33" spans="1:4" x14ac:dyDescent="0.3">
      <c r="A33" t="s">
        <v>2736</v>
      </c>
      <c r="B33">
        <v>7</v>
      </c>
      <c r="C33" t="s">
        <v>3608</v>
      </c>
      <c r="D33" t="s">
        <v>2408</v>
      </c>
    </row>
    <row r="34" spans="1:4" x14ac:dyDescent="0.3">
      <c r="A34" t="s">
        <v>2702</v>
      </c>
      <c r="B34">
        <v>26</v>
      </c>
      <c r="C34" t="s">
        <v>3609</v>
      </c>
      <c r="D34" t="s">
        <v>2702</v>
      </c>
    </row>
    <row r="35" spans="1:4" x14ac:dyDescent="0.3">
      <c r="A35" t="s">
        <v>2704</v>
      </c>
      <c r="B35">
        <v>27</v>
      </c>
      <c r="C35" t="s">
        <v>3610</v>
      </c>
      <c r="D35" t="s">
        <v>2704</v>
      </c>
    </row>
    <row r="36" spans="1:4" x14ac:dyDescent="0.3">
      <c r="A36" t="s">
        <v>3611</v>
      </c>
      <c r="B36">
        <v>30</v>
      </c>
      <c r="C36" t="s">
        <v>3612</v>
      </c>
      <c r="D36" t="s">
        <v>2272</v>
      </c>
    </row>
    <row r="37" spans="1:4" x14ac:dyDescent="0.3">
      <c r="A37" t="s">
        <v>3613</v>
      </c>
      <c r="B37">
        <v>180</v>
      </c>
      <c r="C37" t="s">
        <v>3614</v>
      </c>
      <c r="D37" t="s">
        <v>1926</v>
      </c>
    </row>
    <row r="38" spans="1:4" x14ac:dyDescent="0.3">
      <c r="A38" t="s">
        <v>2772</v>
      </c>
      <c r="B38" t="s">
        <v>3550</v>
      </c>
      <c r="C38" t="s">
        <v>3615</v>
      </c>
      <c r="D38" t="s">
        <v>2772</v>
      </c>
    </row>
    <row r="40" spans="1:4" x14ac:dyDescent="0.3">
      <c r="A40" s="1" t="s">
        <v>3616</v>
      </c>
    </row>
    <row r="41" spans="1:4" x14ac:dyDescent="0.3">
      <c r="A41" t="s">
        <v>3617</v>
      </c>
    </row>
    <row r="42" spans="1:4" x14ac:dyDescent="0.3">
      <c r="A42" t="s">
        <v>3618</v>
      </c>
    </row>
    <row r="44" spans="1:4" x14ac:dyDescent="0.3">
      <c r="A44" s="1" t="s">
        <v>3619</v>
      </c>
    </row>
    <row r="45" spans="1:4" x14ac:dyDescent="0.3">
      <c r="A45" t="s">
        <v>3620</v>
      </c>
    </row>
    <row r="46" spans="1:4" x14ac:dyDescent="0.3">
      <c r="A46" t="s">
        <v>3621</v>
      </c>
    </row>
    <row r="47" spans="1:4" x14ac:dyDescent="0.3">
      <c r="A47" t="s">
        <v>3622</v>
      </c>
    </row>
    <row r="48" spans="1:4" x14ac:dyDescent="0.3">
      <c r="A48" t="s">
        <v>3623</v>
      </c>
    </row>
    <row r="50" spans="1:6" x14ac:dyDescent="0.3">
      <c r="A50" s="1" t="s">
        <v>3573</v>
      </c>
    </row>
    <row r="51" spans="1:6" x14ac:dyDescent="0.3">
      <c r="A51" s="1" t="s">
        <v>3624</v>
      </c>
    </row>
    <row r="52" spans="1:6" x14ac:dyDescent="0.3">
      <c r="A52" s="1" t="s">
        <v>3573</v>
      </c>
    </row>
    <row r="54" spans="1:6" x14ac:dyDescent="0.3">
      <c r="A54" s="1" t="s">
        <v>3625</v>
      </c>
    </row>
    <row r="55" spans="1:6" x14ac:dyDescent="0.3">
      <c r="A55" s="67" t="s">
        <v>2789</v>
      </c>
      <c r="B55" s="67" t="s">
        <v>1918</v>
      </c>
      <c r="C55" s="67" t="s">
        <v>3626</v>
      </c>
      <c r="D55" s="67" t="s">
        <v>3627</v>
      </c>
      <c r="E55" s="67" t="s">
        <v>2271</v>
      </c>
      <c r="F55" s="67" t="s">
        <v>3628</v>
      </c>
    </row>
    <row r="56" spans="1:6" x14ac:dyDescent="0.3">
      <c r="A56">
        <v>1</v>
      </c>
      <c r="B56" t="s">
        <v>3629</v>
      </c>
      <c r="C56" t="s">
        <v>3630</v>
      </c>
      <c r="D56" t="s">
        <v>3631</v>
      </c>
      <c r="E56" t="s">
        <v>3632</v>
      </c>
      <c r="F56" t="s">
        <v>3633</v>
      </c>
    </row>
    <row r="57" spans="1:6" x14ac:dyDescent="0.3">
      <c r="A57">
        <v>2</v>
      </c>
      <c r="B57" t="s">
        <v>3634</v>
      </c>
      <c r="C57" t="s">
        <v>3635</v>
      </c>
      <c r="D57">
        <v>270</v>
      </c>
      <c r="E57" t="s">
        <v>3636</v>
      </c>
      <c r="F57" t="s">
        <v>3637</v>
      </c>
    </row>
    <row r="58" spans="1:6" x14ac:dyDescent="0.3">
      <c r="A58">
        <v>3</v>
      </c>
      <c r="B58" t="s">
        <v>1920</v>
      </c>
      <c r="C58" t="s">
        <v>3638</v>
      </c>
      <c r="D58">
        <v>505</v>
      </c>
      <c r="E58" t="s">
        <v>3639</v>
      </c>
      <c r="F58" t="s">
        <v>3640</v>
      </c>
    </row>
    <row r="59" spans="1:6" x14ac:dyDescent="0.3">
      <c r="A59">
        <v>4</v>
      </c>
      <c r="B59" t="s">
        <v>1925</v>
      </c>
      <c r="C59" t="s">
        <v>3641</v>
      </c>
      <c r="D59">
        <v>101</v>
      </c>
      <c r="E59" t="s">
        <v>3642</v>
      </c>
      <c r="F59" t="s">
        <v>3643</v>
      </c>
    </row>
    <row r="60" spans="1:6" x14ac:dyDescent="0.3">
      <c r="A60">
        <v>5</v>
      </c>
      <c r="B60" t="s">
        <v>1924</v>
      </c>
      <c r="C60" t="s">
        <v>3644</v>
      </c>
      <c r="D60">
        <v>13</v>
      </c>
      <c r="E60" t="s">
        <v>3645</v>
      </c>
      <c r="F60" t="s">
        <v>3646</v>
      </c>
    </row>
    <row r="61" spans="1:6" x14ac:dyDescent="0.3">
      <c r="A61">
        <v>6</v>
      </c>
      <c r="B61" t="s">
        <v>1927</v>
      </c>
      <c r="C61" t="s">
        <v>3647</v>
      </c>
      <c r="D61">
        <v>15</v>
      </c>
      <c r="E61" t="s">
        <v>3648</v>
      </c>
      <c r="F61" t="s">
        <v>3649</v>
      </c>
    </row>
    <row r="62" spans="1:6" x14ac:dyDescent="0.3">
      <c r="A62">
        <v>7</v>
      </c>
      <c r="B62" t="s">
        <v>1921</v>
      </c>
      <c r="C62" t="s">
        <v>3650</v>
      </c>
      <c r="D62">
        <v>81</v>
      </c>
      <c r="E62" t="s">
        <v>3651</v>
      </c>
      <c r="F62" t="s">
        <v>3652</v>
      </c>
    </row>
    <row r="63" spans="1:6" x14ac:dyDescent="0.3">
      <c r="A63">
        <v>8</v>
      </c>
      <c r="B63" t="s">
        <v>2273</v>
      </c>
      <c r="C63" t="s">
        <v>3653</v>
      </c>
      <c r="D63">
        <v>177</v>
      </c>
      <c r="E63" t="s">
        <v>3654</v>
      </c>
      <c r="F63" t="s">
        <v>3655</v>
      </c>
    </row>
    <row r="64" spans="1:6" x14ac:dyDescent="0.3">
      <c r="A64">
        <v>9</v>
      </c>
      <c r="B64" t="s">
        <v>1922</v>
      </c>
      <c r="C64" t="s">
        <v>3656</v>
      </c>
      <c r="D64">
        <v>112</v>
      </c>
      <c r="E64" t="s">
        <v>3657</v>
      </c>
      <c r="F64" t="s">
        <v>3658</v>
      </c>
    </row>
    <row r="65" spans="1:6" x14ac:dyDescent="0.3">
      <c r="A65">
        <v>10</v>
      </c>
      <c r="B65" t="s">
        <v>2772</v>
      </c>
      <c r="C65" t="s">
        <v>3659</v>
      </c>
      <c r="D65">
        <v>147</v>
      </c>
      <c r="E65" t="s">
        <v>3660</v>
      </c>
      <c r="F65" t="s">
        <v>3661</v>
      </c>
    </row>
    <row r="66" spans="1:6" x14ac:dyDescent="0.3">
      <c r="A66">
        <v>11</v>
      </c>
      <c r="B66" t="s">
        <v>2548</v>
      </c>
      <c r="C66" t="s">
        <v>3662</v>
      </c>
      <c r="D66">
        <v>35</v>
      </c>
      <c r="E66" t="s">
        <v>3663</v>
      </c>
      <c r="F66" t="s">
        <v>3664</v>
      </c>
    </row>
    <row r="67" spans="1:6" x14ac:dyDescent="0.3">
      <c r="A67">
        <v>12</v>
      </c>
      <c r="B67" t="s">
        <v>2408</v>
      </c>
      <c r="C67" t="s">
        <v>3665</v>
      </c>
      <c r="D67">
        <v>11</v>
      </c>
      <c r="E67" t="s">
        <v>3666</v>
      </c>
      <c r="F67" t="s">
        <v>3667</v>
      </c>
    </row>
    <row r="68" spans="1:6" x14ac:dyDescent="0.3">
      <c r="A68">
        <v>13</v>
      </c>
      <c r="B68" t="s">
        <v>2702</v>
      </c>
      <c r="C68" t="s">
        <v>3668</v>
      </c>
      <c r="D68">
        <v>29</v>
      </c>
      <c r="E68" t="s">
        <v>2703</v>
      </c>
      <c r="F68" t="s">
        <v>3669</v>
      </c>
    </row>
    <row r="69" spans="1:6" x14ac:dyDescent="0.3">
      <c r="A69">
        <v>14</v>
      </c>
      <c r="B69" t="s">
        <v>2704</v>
      </c>
      <c r="C69" t="s">
        <v>3670</v>
      </c>
      <c r="D69">
        <v>30</v>
      </c>
      <c r="E69" t="s">
        <v>3671</v>
      </c>
      <c r="F69" t="s">
        <v>3672</v>
      </c>
    </row>
    <row r="70" spans="1:6" x14ac:dyDescent="0.3">
      <c r="A70">
        <v>15</v>
      </c>
      <c r="B70" t="s">
        <v>2272</v>
      </c>
      <c r="C70" t="s">
        <v>3673</v>
      </c>
      <c r="D70">
        <v>31</v>
      </c>
      <c r="E70" t="s">
        <v>3674</v>
      </c>
      <c r="F70" t="s">
        <v>3675</v>
      </c>
    </row>
    <row r="71" spans="1:6" x14ac:dyDescent="0.3">
      <c r="A71">
        <v>16</v>
      </c>
      <c r="B71" t="s">
        <v>1926</v>
      </c>
      <c r="C71" t="s">
        <v>3676</v>
      </c>
      <c r="D71">
        <v>181</v>
      </c>
      <c r="E71" t="s">
        <v>3677</v>
      </c>
      <c r="F71" t="s">
        <v>3678</v>
      </c>
    </row>
    <row r="72" spans="1:6" x14ac:dyDescent="0.3">
      <c r="A72" s="1" t="s">
        <v>3573</v>
      </c>
      <c r="B72" t="s">
        <v>1923</v>
      </c>
      <c r="C72" t="s">
        <v>3679</v>
      </c>
      <c r="D72">
        <v>128</v>
      </c>
      <c r="E72" t="s">
        <v>3680</v>
      </c>
      <c r="F72" t="s">
        <v>3681</v>
      </c>
    </row>
    <row r="73" spans="1:6" x14ac:dyDescent="0.3">
      <c r="A73" s="1" t="s">
        <v>3682</v>
      </c>
    </row>
    <row r="74" spans="1:6" x14ac:dyDescent="0.3">
      <c r="A74" s="1" t="s">
        <v>3573</v>
      </c>
    </row>
    <row r="76" spans="1:6" x14ac:dyDescent="0.3">
      <c r="A76" s="1" t="s">
        <v>3683</v>
      </c>
    </row>
    <row r="78" spans="1:6" x14ac:dyDescent="0.3">
      <c r="A78" s="12" t="s">
        <v>3684</v>
      </c>
    </row>
    <row r="79" spans="1:6" x14ac:dyDescent="0.3">
      <c r="A79" s="12" t="s">
        <v>3685</v>
      </c>
    </row>
    <row r="80" spans="1:6" x14ac:dyDescent="0.3">
      <c r="A80" s="12" t="s">
        <v>3686</v>
      </c>
    </row>
    <row r="81" spans="1:1" x14ac:dyDescent="0.3">
      <c r="A81" s="12" t="s">
        <v>3687</v>
      </c>
    </row>
    <row r="82" spans="1:1" x14ac:dyDescent="0.3">
      <c r="A82" s="12" t="s">
        <v>3688</v>
      </c>
    </row>
    <row r="83" spans="1:1" x14ac:dyDescent="0.3">
      <c r="A83" s="12" t="s">
        <v>3689</v>
      </c>
    </row>
    <row r="84" spans="1:1" x14ac:dyDescent="0.3">
      <c r="A84" s="12" t="s">
        <v>3690</v>
      </c>
    </row>
    <row r="85" spans="1:1" x14ac:dyDescent="0.3">
      <c r="A85" s="12" t="s">
        <v>3691</v>
      </c>
    </row>
    <row r="86" spans="1:1" x14ac:dyDescent="0.3">
      <c r="A86" s="12" t="s">
        <v>3692</v>
      </c>
    </row>
    <row r="87" spans="1:1" x14ac:dyDescent="0.3">
      <c r="A87" s="12" t="s">
        <v>3693</v>
      </c>
    </row>
    <row r="88" spans="1:1" x14ac:dyDescent="0.3">
      <c r="A88" s="12" t="s">
        <v>3694</v>
      </c>
    </row>
    <row r="89" spans="1:1" x14ac:dyDescent="0.3">
      <c r="A89" s="12" t="s">
        <v>3695</v>
      </c>
    </row>
    <row r="90" spans="1:1" x14ac:dyDescent="0.3">
      <c r="A90" s="12" t="s">
        <v>3696</v>
      </c>
    </row>
    <row r="91" spans="1:1" x14ac:dyDescent="0.3">
      <c r="A91" s="12" t="s">
        <v>3697</v>
      </c>
    </row>
    <row r="92" spans="1:1" x14ac:dyDescent="0.3">
      <c r="A92" s="12" t="s">
        <v>3698</v>
      </c>
    </row>
    <row r="93" spans="1:1" x14ac:dyDescent="0.3">
      <c r="A93" s="12" t="s">
        <v>3699</v>
      </c>
    </row>
    <row r="94" spans="1:1" x14ac:dyDescent="0.3">
      <c r="A94" s="12" t="s">
        <v>3700</v>
      </c>
    </row>
    <row r="95" spans="1:1" x14ac:dyDescent="0.3">
      <c r="A95" s="12" t="s">
        <v>3701</v>
      </c>
    </row>
    <row r="96" spans="1:1" x14ac:dyDescent="0.3">
      <c r="A96" s="12" t="s">
        <v>3702</v>
      </c>
    </row>
    <row r="97" spans="1:1" x14ac:dyDescent="0.3">
      <c r="A97" s="12" t="s">
        <v>3703</v>
      </c>
    </row>
    <row r="98" spans="1:1" x14ac:dyDescent="0.3">
      <c r="A98" s="12" t="s">
        <v>3704</v>
      </c>
    </row>
    <row r="99" spans="1:1" x14ac:dyDescent="0.3">
      <c r="A99" s="12" t="s">
        <v>3705</v>
      </c>
    </row>
    <row r="100" spans="1:1" x14ac:dyDescent="0.3">
      <c r="A100" s="12" t="s">
        <v>3706</v>
      </c>
    </row>
    <row r="101" spans="1:1" x14ac:dyDescent="0.3">
      <c r="A101" s="12" t="s">
        <v>3707</v>
      </c>
    </row>
    <row r="102" spans="1:1" x14ac:dyDescent="0.3">
      <c r="A102" s="12" t="s">
        <v>3708</v>
      </c>
    </row>
    <row r="103" spans="1:1" x14ac:dyDescent="0.3">
      <c r="A103" s="12" t="s">
        <v>3709</v>
      </c>
    </row>
    <row r="104" spans="1:1" x14ac:dyDescent="0.3">
      <c r="A104" s="12" t="s">
        <v>3710</v>
      </c>
    </row>
    <row r="105" spans="1:1" x14ac:dyDescent="0.3">
      <c r="A105" s="12" t="s">
        <v>3711</v>
      </c>
    </row>
    <row r="106" spans="1:1" x14ac:dyDescent="0.3">
      <c r="A106" s="12" t="s">
        <v>3712</v>
      </c>
    </row>
    <row r="107" spans="1:1" x14ac:dyDescent="0.3">
      <c r="A107" s="12" t="s">
        <v>3713</v>
      </c>
    </row>
    <row r="108" spans="1:1" x14ac:dyDescent="0.3">
      <c r="A108" s="12" t="s">
        <v>3714</v>
      </c>
    </row>
    <row r="109" spans="1:1" x14ac:dyDescent="0.3">
      <c r="A109" s="12" t="s">
        <v>3715</v>
      </c>
    </row>
    <row r="110" spans="1:1" x14ac:dyDescent="0.3">
      <c r="A110" s="12"/>
    </row>
    <row r="111" spans="1:1" x14ac:dyDescent="0.3">
      <c r="A111" s="12" t="s">
        <v>3716</v>
      </c>
    </row>
    <row r="112" spans="1:1" x14ac:dyDescent="0.3">
      <c r="A112" s="12" t="s">
        <v>3717</v>
      </c>
    </row>
    <row r="113" spans="1:6" x14ac:dyDescent="0.3">
      <c r="A113" s="12" t="s">
        <v>3718</v>
      </c>
    </row>
    <row r="114" spans="1:6" x14ac:dyDescent="0.3">
      <c r="A114" s="12" t="s">
        <v>3719</v>
      </c>
    </row>
    <row r="115" spans="1:6" x14ac:dyDescent="0.3">
      <c r="A115" s="12" t="s">
        <v>3720</v>
      </c>
    </row>
    <row r="116" spans="1:6" x14ac:dyDescent="0.3">
      <c r="A116" t="s">
        <v>3721</v>
      </c>
    </row>
    <row r="118" spans="1:6" x14ac:dyDescent="0.3">
      <c r="A118" s="1" t="s">
        <v>3722</v>
      </c>
    </row>
    <row r="120" spans="1:6" x14ac:dyDescent="0.3">
      <c r="A120" s="67" t="s">
        <v>3589</v>
      </c>
      <c r="B120" s="67" t="s">
        <v>3723</v>
      </c>
      <c r="C120" s="67" t="s">
        <v>3724</v>
      </c>
      <c r="D120" s="67" t="s">
        <v>3725</v>
      </c>
      <c r="E120" s="67" t="s">
        <v>3726</v>
      </c>
      <c r="F120" s="67" t="s">
        <v>114</v>
      </c>
    </row>
    <row r="121" spans="1:6" x14ac:dyDescent="0.3">
      <c r="A121" t="s">
        <v>1921</v>
      </c>
      <c r="B121" t="s">
        <v>1</v>
      </c>
      <c r="C121" t="s">
        <v>3634</v>
      </c>
      <c r="D121" t="s">
        <v>3727</v>
      </c>
      <c r="E121" t="s">
        <v>3728</v>
      </c>
      <c r="F121" t="s">
        <v>3729</v>
      </c>
    </row>
    <row r="122" spans="1:6" x14ac:dyDescent="0.3">
      <c r="A122" t="s">
        <v>1921</v>
      </c>
      <c r="B122" t="s">
        <v>2</v>
      </c>
      <c r="C122" t="s">
        <v>1920</v>
      </c>
      <c r="D122" t="s">
        <v>3730</v>
      </c>
      <c r="E122" t="s">
        <v>3728</v>
      </c>
      <c r="F122" t="s">
        <v>3731</v>
      </c>
    </row>
    <row r="123" spans="1:6" x14ac:dyDescent="0.3">
      <c r="A123" t="s">
        <v>1921</v>
      </c>
      <c r="B123" t="s">
        <v>2549</v>
      </c>
      <c r="C123" t="s">
        <v>1925</v>
      </c>
      <c r="D123" t="s">
        <v>3732</v>
      </c>
      <c r="E123" t="s">
        <v>3728</v>
      </c>
      <c r="F123" t="s">
        <v>3733</v>
      </c>
    </row>
    <row r="124" spans="1:6" x14ac:dyDescent="0.3">
      <c r="A124" t="s">
        <v>1921</v>
      </c>
      <c r="B124" t="s">
        <v>2554</v>
      </c>
      <c r="C124" t="s">
        <v>1925</v>
      </c>
      <c r="D124" t="s">
        <v>3732</v>
      </c>
      <c r="E124" t="s">
        <v>3734</v>
      </c>
      <c r="F124" t="s">
        <v>3735</v>
      </c>
    </row>
    <row r="125" spans="1:6" x14ac:dyDescent="0.3">
      <c r="A125" t="s">
        <v>1921</v>
      </c>
      <c r="B125" t="s">
        <v>2551</v>
      </c>
      <c r="C125" t="s">
        <v>1921</v>
      </c>
      <c r="D125" t="s">
        <v>3736</v>
      </c>
      <c r="E125" t="s">
        <v>3734</v>
      </c>
      <c r="F125" t="s">
        <v>3737</v>
      </c>
    </row>
    <row r="126" spans="1:6" x14ac:dyDescent="0.3">
      <c r="A126" t="s">
        <v>1920</v>
      </c>
      <c r="B126" t="s">
        <v>1</v>
      </c>
      <c r="C126" t="s">
        <v>3634</v>
      </c>
      <c r="D126" t="s">
        <v>3727</v>
      </c>
      <c r="E126" t="s">
        <v>3728</v>
      </c>
      <c r="F126" t="s">
        <v>3738</v>
      </c>
    </row>
    <row r="127" spans="1:6" x14ac:dyDescent="0.3">
      <c r="A127" t="s">
        <v>1920</v>
      </c>
      <c r="B127" t="s">
        <v>3</v>
      </c>
      <c r="C127" t="s">
        <v>3634</v>
      </c>
      <c r="D127" t="s">
        <v>3739</v>
      </c>
      <c r="E127" t="s">
        <v>3728</v>
      </c>
      <c r="F127" t="s">
        <v>3740</v>
      </c>
    </row>
    <row r="128" spans="1:6" x14ac:dyDescent="0.3">
      <c r="A128" t="s">
        <v>1922</v>
      </c>
      <c r="B128" t="s">
        <v>103</v>
      </c>
      <c r="C128" t="s">
        <v>1921</v>
      </c>
      <c r="D128" t="s">
        <v>3736</v>
      </c>
      <c r="E128" s="164">
        <v>4.2361111111111113E-2</v>
      </c>
      <c r="F128" t="s">
        <v>3741</v>
      </c>
    </row>
    <row r="129" spans="1:6" x14ac:dyDescent="0.3">
      <c r="A129" t="s">
        <v>1922</v>
      </c>
      <c r="B129" t="s">
        <v>2</v>
      </c>
      <c r="C129" t="s">
        <v>1920</v>
      </c>
      <c r="D129" t="s">
        <v>3730</v>
      </c>
      <c r="E129" t="s">
        <v>3728</v>
      </c>
      <c r="F129" t="s">
        <v>3731</v>
      </c>
    </row>
    <row r="130" spans="1:6" x14ac:dyDescent="0.3">
      <c r="A130" t="s">
        <v>2548</v>
      </c>
      <c r="B130" t="s">
        <v>103</v>
      </c>
      <c r="C130" t="s">
        <v>1921</v>
      </c>
      <c r="D130" t="s">
        <v>3736</v>
      </c>
      <c r="E130" t="s">
        <v>3728</v>
      </c>
      <c r="F130" t="s">
        <v>3742</v>
      </c>
    </row>
    <row r="131" spans="1:6" x14ac:dyDescent="0.3">
      <c r="A131" t="s">
        <v>2548</v>
      </c>
      <c r="B131" t="s">
        <v>2701</v>
      </c>
      <c r="C131" t="s">
        <v>1925</v>
      </c>
      <c r="D131" t="s">
        <v>3732</v>
      </c>
      <c r="E131" t="s">
        <v>3728</v>
      </c>
      <c r="F131" t="s">
        <v>3743</v>
      </c>
    </row>
    <row r="132" spans="1:6" x14ac:dyDescent="0.3">
      <c r="A132" t="s">
        <v>2408</v>
      </c>
      <c r="B132" t="s">
        <v>103</v>
      </c>
      <c r="C132" t="s">
        <v>1921</v>
      </c>
      <c r="D132" t="s">
        <v>3736</v>
      </c>
      <c r="E132" t="s">
        <v>3728</v>
      </c>
      <c r="F132" t="s">
        <v>3742</v>
      </c>
    </row>
    <row r="133" spans="1:6" x14ac:dyDescent="0.3">
      <c r="A133" t="s">
        <v>2408</v>
      </c>
      <c r="B133" t="s">
        <v>2</v>
      </c>
      <c r="C133" t="s">
        <v>1920</v>
      </c>
      <c r="D133" t="s">
        <v>3730</v>
      </c>
      <c r="E133" t="s">
        <v>3728</v>
      </c>
      <c r="F133" t="s">
        <v>3731</v>
      </c>
    </row>
    <row r="134" spans="1:6" x14ac:dyDescent="0.3">
      <c r="A134" t="s">
        <v>2702</v>
      </c>
      <c r="B134" t="s">
        <v>103</v>
      </c>
      <c r="C134" t="s">
        <v>1921</v>
      </c>
      <c r="D134" t="s">
        <v>3736</v>
      </c>
      <c r="E134" t="s">
        <v>3728</v>
      </c>
      <c r="F134" t="s">
        <v>3744</v>
      </c>
    </row>
    <row r="135" spans="1:6" x14ac:dyDescent="0.3">
      <c r="A135" t="s">
        <v>2702</v>
      </c>
      <c r="B135" t="s">
        <v>2588</v>
      </c>
      <c r="C135" t="s">
        <v>1921</v>
      </c>
      <c r="D135" t="s">
        <v>3736</v>
      </c>
      <c r="E135" t="s">
        <v>3728</v>
      </c>
      <c r="F135" t="s">
        <v>3745</v>
      </c>
    </row>
    <row r="136" spans="1:6" x14ac:dyDescent="0.3">
      <c r="A136" t="s">
        <v>2704</v>
      </c>
      <c r="B136" t="s">
        <v>103</v>
      </c>
      <c r="C136" t="s">
        <v>1921</v>
      </c>
      <c r="D136" t="s">
        <v>3736</v>
      </c>
      <c r="E136" t="s">
        <v>3728</v>
      </c>
      <c r="F136" t="s">
        <v>3742</v>
      </c>
    </row>
    <row r="137" spans="1:6" x14ac:dyDescent="0.3">
      <c r="A137" t="s">
        <v>2704</v>
      </c>
      <c r="B137" t="s">
        <v>2640</v>
      </c>
      <c r="C137" t="s">
        <v>1925</v>
      </c>
      <c r="D137" t="s">
        <v>3732</v>
      </c>
      <c r="E137" t="s">
        <v>3728</v>
      </c>
      <c r="F137" t="s">
        <v>3746</v>
      </c>
    </row>
    <row r="138" spans="1:6" x14ac:dyDescent="0.3">
      <c r="A138" t="s">
        <v>2272</v>
      </c>
      <c r="B138" t="s">
        <v>935</v>
      </c>
      <c r="C138" t="s">
        <v>1925</v>
      </c>
      <c r="D138" t="s">
        <v>3732</v>
      </c>
      <c r="E138" t="s">
        <v>3728</v>
      </c>
      <c r="F138" t="s">
        <v>3747</v>
      </c>
    </row>
    <row r="139" spans="1:6" x14ac:dyDescent="0.3">
      <c r="A139" t="s">
        <v>2272</v>
      </c>
      <c r="B139" t="s">
        <v>1949</v>
      </c>
      <c r="C139" t="s">
        <v>1921</v>
      </c>
      <c r="D139" t="s">
        <v>3736</v>
      </c>
      <c r="E139" t="s">
        <v>3728</v>
      </c>
      <c r="F139" t="s">
        <v>3748</v>
      </c>
    </row>
    <row r="140" spans="1:6" x14ac:dyDescent="0.3">
      <c r="A140" t="s">
        <v>2273</v>
      </c>
      <c r="B140" t="s">
        <v>103</v>
      </c>
      <c r="C140" t="s">
        <v>1921</v>
      </c>
      <c r="D140" t="s">
        <v>3736</v>
      </c>
      <c r="E140" t="s">
        <v>3728</v>
      </c>
      <c r="F140" t="s">
        <v>3749</v>
      </c>
    </row>
    <row r="141" spans="1:6" x14ac:dyDescent="0.3">
      <c r="A141" t="s">
        <v>1926</v>
      </c>
      <c r="B141" t="s">
        <v>2</v>
      </c>
      <c r="C141" t="s">
        <v>1920</v>
      </c>
      <c r="D141" t="s">
        <v>3730</v>
      </c>
      <c r="E141" t="s">
        <v>3728</v>
      </c>
      <c r="F141" t="s">
        <v>3731</v>
      </c>
    </row>
    <row r="142" spans="1:6" x14ac:dyDescent="0.3">
      <c r="A142" t="s">
        <v>1926</v>
      </c>
      <c r="B142" t="s">
        <v>1</v>
      </c>
      <c r="C142" t="s">
        <v>3634</v>
      </c>
      <c r="D142" t="s">
        <v>3727</v>
      </c>
      <c r="E142" t="s">
        <v>3728</v>
      </c>
      <c r="F142" t="s">
        <v>3729</v>
      </c>
    </row>
    <row r="145" spans="1:6" x14ac:dyDescent="0.3">
      <c r="A145" s="1" t="s">
        <v>3573</v>
      </c>
    </row>
    <row r="146" spans="1:6" x14ac:dyDescent="0.3">
      <c r="A146" s="1" t="s">
        <v>3750</v>
      </c>
    </row>
    <row r="147" spans="1:6" x14ac:dyDescent="0.3">
      <c r="A147" s="1" t="s">
        <v>3573</v>
      </c>
    </row>
    <row r="149" spans="1:6" x14ac:dyDescent="0.3">
      <c r="A149" t="s">
        <v>3751</v>
      </c>
    </row>
    <row r="150" spans="1:6" x14ac:dyDescent="0.3">
      <c r="A150" t="s">
        <v>3752</v>
      </c>
    </row>
    <row r="152" spans="1:6" x14ac:dyDescent="0.3">
      <c r="A152" s="1" t="s">
        <v>3753</v>
      </c>
    </row>
    <row r="153" spans="1:6" x14ac:dyDescent="0.3">
      <c r="A153" s="1" t="s">
        <v>3754</v>
      </c>
    </row>
    <row r="154" spans="1:6" x14ac:dyDescent="0.3">
      <c r="A154" t="s">
        <v>3753</v>
      </c>
    </row>
    <row r="156" spans="1:6" x14ac:dyDescent="0.3">
      <c r="A156" s="131" t="s">
        <v>2274</v>
      </c>
      <c r="B156" s="131" t="s">
        <v>3755</v>
      </c>
      <c r="C156" s="131" t="s">
        <v>3756</v>
      </c>
      <c r="D156" s="131" t="s">
        <v>3757</v>
      </c>
      <c r="E156" s="131" t="s">
        <v>3758</v>
      </c>
      <c r="F156" s="131" t="s">
        <v>1919</v>
      </c>
    </row>
    <row r="157" spans="1:6" x14ac:dyDescent="0.3">
      <c r="A157" t="s">
        <v>3759</v>
      </c>
      <c r="B157" t="s">
        <v>1</v>
      </c>
      <c r="C157" t="s">
        <v>3760</v>
      </c>
      <c r="D157" t="s">
        <v>3228</v>
      </c>
      <c r="E157" t="s">
        <v>3761</v>
      </c>
      <c r="F157" t="s">
        <v>3762</v>
      </c>
    </row>
    <row r="158" spans="1:6" x14ac:dyDescent="0.3">
      <c r="A158" t="s">
        <v>3763</v>
      </c>
      <c r="B158" t="s">
        <v>2</v>
      </c>
      <c r="C158" t="s">
        <v>3764</v>
      </c>
      <c r="D158" t="s">
        <v>3228</v>
      </c>
      <c r="E158" t="s">
        <v>3765</v>
      </c>
      <c r="F158" t="s">
        <v>3766</v>
      </c>
    </row>
    <row r="159" spans="1:6" x14ac:dyDescent="0.3">
      <c r="A159" t="s">
        <v>3767</v>
      </c>
      <c r="B159" t="s">
        <v>3</v>
      </c>
      <c r="C159" t="s">
        <v>3760</v>
      </c>
      <c r="D159" t="s">
        <v>3228</v>
      </c>
      <c r="E159" t="s">
        <v>3768</v>
      </c>
      <c r="F159" t="s">
        <v>3769</v>
      </c>
    </row>
    <row r="160" spans="1:6" x14ac:dyDescent="0.3">
      <c r="A160" t="s">
        <v>3770</v>
      </c>
      <c r="B160" t="s">
        <v>862</v>
      </c>
      <c r="C160" t="s">
        <v>3764</v>
      </c>
      <c r="D160" t="s">
        <v>2808</v>
      </c>
      <c r="E160" t="s">
        <v>3771</v>
      </c>
      <c r="F160" t="s">
        <v>3772</v>
      </c>
    </row>
    <row r="161" spans="1:6" x14ac:dyDescent="0.3">
      <c r="A161" t="s">
        <v>3773</v>
      </c>
      <c r="B161" t="s">
        <v>622</v>
      </c>
      <c r="C161" t="s">
        <v>3764</v>
      </c>
      <c r="D161" t="s">
        <v>2808</v>
      </c>
      <c r="E161" t="s">
        <v>3774</v>
      </c>
      <c r="F161" t="s">
        <v>3775</v>
      </c>
    </row>
    <row r="162" spans="1:6" x14ac:dyDescent="0.3">
      <c r="A162" t="s">
        <v>3776</v>
      </c>
      <c r="B162" t="s">
        <v>789</v>
      </c>
      <c r="C162" t="s">
        <v>3764</v>
      </c>
      <c r="D162" t="s">
        <v>3228</v>
      </c>
      <c r="E162" t="s">
        <v>3777</v>
      </c>
      <c r="F162" t="s">
        <v>3778</v>
      </c>
    </row>
    <row r="164" spans="1:6" x14ac:dyDescent="0.3">
      <c r="A164" s="1" t="s">
        <v>3779</v>
      </c>
    </row>
    <row r="165" spans="1:6" x14ac:dyDescent="0.3">
      <c r="A165" t="s">
        <v>3780</v>
      </c>
    </row>
    <row r="166" spans="1:6" x14ac:dyDescent="0.3">
      <c r="A166" t="s">
        <v>3781</v>
      </c>
    </row>
    <row r="167" spans="1:6" x14ac:dyDescent="0.3">
      <c r="A167" t="s">
        <v>3782</v>
      </c>
    </row>
    <row r="168" spans="1:6" x14ac:dyDescent="0.3">
      <c r="A168" t="s">
        <v>3783</v>
      </c>
    </row>
    <row r="171" spans="1:6" x14ac:dyDescent="0.3">
      <c r="A171" s="1" t="s">
        <v>3753</v>
      </c>
    </row>
    <row r="172" spans="1:6" x14ac:dyDescent="0.3">
      <c r="A172" s="1" t="s">
        <v>3784</v>
      </c>
    </row>
    <row r="173" spans="1:6" x14ac:dyDescent="0.3">
      <c r="A173" s="1" t="s">
        <v>3753</v>
      </c>
    </row>
    <row r="175" spans="1:6" x14ac:dyDescent="0.3">
      <c r="A175" s="131" t="s">
        <v>2274</v>
      </c>
      <c r="B175" s="131" t="s">
        <v>3755</v>
      </c>
      <c r="C175" s="131" t="s">
        <v>3756</v>
      </c>
      <c r="D175" s="131" t="s">
        <v>3757</v>
      </c>
      <c r="E175" s="131" t="s">
        <v>3758</v>
      </c>
      <c r="F175" s="131" t="s">
        <v>1919</v>
      </c>
    </row>
    <row r="176" spans="1:6" x14ac:dyDescent="0.3">
      <c r="A176" t="s">
        <v>3759</v>
      </c>
      <c r="B176" t="s">
        <v>935</v>
      </c>
      <c r="C176" t="s">
        <v>3785</v>
      </c>
      <c r="D176" t="s">
        <v>3228</v>
      </c>
      <c r="E176" t="s">
        <v>3786</v>
      </c>
      <c r="F176" t="s">
        <v>3787</v>
      </c>
    </row>
    <row r="177" spans="1:6" x14ac:dyDescent="0.3">
      <c r="A177" t="s">
        <v>3763</v>
      </c>
      <c r="B177" t="s">
        <v>864</v>
      </c>
      <c r="C177" t="s">
        <v>3764</v>
      </c>
      <c r="D177" t="s">
        <v>3228</v>
      </c>
      <c r="E177" t="s">
        <v>3788</v>
      </c>
      <c r="F177" t="s">
        <v>3789</v>
      </c>
    </row>
    <row r="178" spans="1:6" x14ac:dyDescent="0.3">
      <c r="A178" t="s">
        <v>3767</v>
      </c>
      <c r="B178" t="s">
        <v>865</v>
      </c>
      <c r="C178" t="s">
        <v>3764</v>
      </c>
      <c r="D178" t="s">
        <v>3228</v>
      </c>
      <c r="E178" t="s">
        <v>3790</v>
      </c>
      <c r="F178" t="s">
        <v>3791</v>
      </c>
    </row>
    <row r="179" spans="1:6" x14ac:dyDescent="0.3">
      <c r="A179" t="s">
        <v>3770</v>
      </c>
      <c r="B179" t="s">
        <v>936</v>
      </c>
      <c r="C179" t="s">
        <v>3760</v>
      </c>
      <c r="D179" t="s">
        <v>3228</v>
      </c>
      <c r="E179" t="s">
        <v>3792</v>
      </c>
      <c r="F179" t="s">
        <v>3793</v>
      </c>
    </row>
    <row r="180" spans="1:6" x14ac:dyDescent="0.3">
      <c r="A180" t="s">
        <v>3773</v>
      </c>
      <c r="B180" t="s">
        <v>1</v>
      </c>
      <c r="C180" t="s">
        <v>3760</v>
      </c>
      <c r="D180" t="s">
        <v>3228</v>
      </c>
      <c r="E180" t="s">
        <v>3738</v>
      </c>
      <c r="F180" t="s">
        <v>3794</v>
      </c>
    </row>
    <row r="181" spans="1:6" x14ac:dyDescent="0.3">
      <c r="A181" t="s">
        <v>3776</v>
      </c>
      <c r="B181" t="s">
        <v>937</v>
      </c>
      <c r="C181" t="s">
        <v>3764</v>
      </c>
      <c r="D181" t="s">
        <v>3228</v>
      </c>
      <c r="E181" t="s">
        <v>3795</v>
      </c>
      <c r="F181" t="s">
        <v>3796</v>
      </c>
    </row>
    <row r="182" spans="1:6" x14ac:dyDescent="0.3">
      <c r="A182" t="s">
        <v>3797</v>
      </c>
      <c r="B182" t="s">
        <v>938</v>
      </c>
      <c r="C182" t="s">
        <v>3760</v>
      </c>
      <c r="D182" t="s">
        <v>3228</v>
      </c>
      <c r="E182" t="s">
        <v>3798</v>
      </c>
      <c r="F182" t="s">
        <v>3799</v>
      </c>
    </row>
    <row r="183" spans="1:6" x14ac:dyDescent="0.3">
      <c r="A183" t="s">
        <v>3101</v>
      </c>
      <c r="B183" t="s">
        <v>112</v>
      </c>
      <c r="C183" t="s">
        <v>3760</v>
      </c>
      <c r="D183" t="s">
        <v>3228</v>
      </c>
      <c r="E183" t="s">
        <v>3800</v>
      </c>
      <c r="F183" t="s">
        <v>3801</v>
      </c>
    </row>
    <row r="184" spans="1:6" x14ac:dyDescent="0.3">
      <c r="A184" t="s">
        <v>3802</v>
      </c>
      <c r="B184" t="s">
        <v>939</v>
      </c>
      <c r="C184" t="s">
        <v>3803</v>
      </c>
      <c r="D184" t="s">
        <v>2808</v>
      </c>
      <c r="E184" t="s">
        <v>3804</v>
      </c>
      <c r="F184" t="s">
        <v>3805</v>
      </c>
    </row>
    <row r="186" spans="1:6" x14ac:dyDescent="0.3">
      <c r="A186" s="1" t="s">
        <v>3779</v>
      </c>
    </row>
    <row r="187" spans="1:6" x14ac:dyDescent="0.3">
      <c r="A187" t="s">
        <v>3806</v>
      </c>
    </row>
    <row r="188" spans="1:6" x14ac:dyDescent="0.3">
      <c r="A188" t="s">
        <v>3807</v>
      </c>
    </row>
    <row r="189" spans="1:6" x14ac:dyDescent="0.3">
      <c r="A189" t="s">
        <v>3808</v>
      </c>
    </row>
    <row r="191" spans="1:6" x14ac:dyDescent="0.3">
      <c r="A191" s="1" t="s">
        <v>3753</v>
      </c>
    </row>
    <row r="192" spans="1:6" x14ac:dyDescent="0.3">
      <c r="A192" s="1" t="s">
        <v>3809</v>
      </c>
    </row>
    <row r="193" spans="1:6" x14ac:dyDescent="0.3">
      <c r="A193" s="1" t="s">
        <v>3753</v>
      </c>
    </row>
    <row r="195" spans="1:6" x14ac:dyDescent="0.3">
      <c r="A195" s="165" t="s">
        <v>2274</v>
      </c>
      <c r="B195" s="165" t="s">
        <v>3755</v>
      </c>
      <c r="C195" s="165" t="s">
        <v>3756</v>
      </c>
      <c r="D195" s="165" t="s">
        <v>3757</v>
      </c>
      <c r="E195" s="165" t="s">
        <v>3758</v>
      </c>
      <c r="F195" s="165" t="s">
        <v>1919</v>
      </c>
    </row>
    <row r="196" spans="1:6" x14ac:dyDescent="0.3">
      <c r="A196" t="s">
        <v>3759</v>
      </c>
      <c r="B196" t="s">
        <v>103</v>
      </c>
      <c r="C196" t="s">
        <v>3785</v>
      </c>
      <c r="D196" t="s">
        <v>3228</v>
      </c>
      <c r="E196" t="s">
        <v>3810</v>
      </c>
      <c r="F196" t="s">
        <v>3811</v>
      </c>
    </row>
    <row r="197" spans="1:6" x14ac:dyDescent="0.3">
      <c r="A197" t="s">
        <v>3763</v>
      </c>
      <c r="B197" t="s">
        <v>104</v>
      </c>
      <c r="C197" t="s">
        <v>3764</v>
      </c>
      <c r="D197" t="s">
        <v>3228</v>
      </c>
      <c r="E197" t="s">
        <v>3812</v>
      </c>
      <c r="F197" t="s">
        <v>3813</v>
      </c>
    </row>
    <row r="198" spans="1:6" x14ac:dyDescent="0.3">
      <c r="A198" t="s">
        <v>3767</v>
      </c>
      <c r="B198" t="s">
        <v>1</v>
      </c>
      <c r="C198" t="s">
        <v>3814</v>
      </c>
      <c r="D198" t="s">
        <v>3228</v>
      </c>
      <c r="E198" t="s">
        <v>3815</v>
      </c>
      <c r="F198" t="s">
        <v>3816</v>
      </c>
    </row>
    <row r="199" spans="1:6" x14ac:dyDescent="0.3">
      <c r="A199" t="s">
        <v>3770</v>
      </c>
      <c r="B199" t="s">
        <v>2</v>
      </c>
      <c r="C199" t="s">
        <v>3817</v>
      </c>
      <c r="D199" t="s">
        <v>3228</v>
      </c>
      <c r="E199" t="s">
        <v>3818</v>
      </c>
      <c r="F199" t="s">
        <v>3819</v>
      </c>
    </row>
    <row r="200" spans="1:6" x14ac:dyDescent="0.3">
      <c r="A200" t="s">
        <v>3773</v>
      </c>
      <c r="B200" t="s">
        <v>105</v>
      </c>
      <c r="C200" t="s">
        <v>3760</v>
      </c>
      <c r="D200" t="s">
        <v>3228</v>
      </c>
      <c r="E200" t="s">
        <v>3820</v>
      </c>
      <c r="F200" t="s">
        <v>3821</v>
      </c>
    </row>
    <row r="201" spans="1:6" x14ac:dyDescent="0.3">
      <c r="A201" t="s">
        <v>3776</v>
      </c>
      <c r="B201" t="s">
        <v>106</v>
      </c>
      <c r="C201" t="s">
        <v>3760</v>
      </c>
      <c r="D201" t="s">
        <v>3228</v>
      </c>
      <c r="E201" t="s">
        <v>3822</v>
      </c>
      <c r="F201" t="s">
        <v>3823</v>
      </c>
    </row>
    <row r="202" spans="1:6" x14ac:dyDescent="0.3">
      <c r="A202" t="s">
        <v>3797</v>
      </c>
      <c r="B202" t="s">
        <v>107</v>
      </c>
      <c r="C202" t="s">
        <v>3760</v>
      </c>
      <c r="D202" t="s">
        <v>3228</v>
      </c>
      <c r="E202" t="s">
        <v>3824</v>
      </c>
      <c r="F202" t="s">
        <v>3825</v>
      </c>
    </row>
    <row r="203" spans="1:6" x14ac:dyDescent="0.3">
      <c r="A203" t="s">
        <v>3101</v>
      </c>
      <c r="B203" t="s">
        <v>1812</v>
      </c>
      <c r="C203" t="s">
        <v>3803</v>
      </c>
      <c r="D203" t="s">
        <v>3228</v>
      </c>
      <c r="E203" t="s">
        <v>3804</v>
      </c>
      <c r="F203" t="s">
        <v>3826</v>
      </c>
    </row>
    <row r="204" spans="1:6" x14ac:dyDescent="0.3">
      <c r="A204" t="s">
        <v>3802</v>
      </c>
      <c r="B204" t="s">
        <v>108</v>
      </c>
      <c r="C204" t="s">
        <v>3803</v>
      </c>
      <c r="D204" t="s">
        <v>3228</v>
      </c>
      <c r="E204" t="s">
        <v>3804</v>
      </c>
      <c r="F204" t="s">
        <v>3827</v>
      </c>
    </row>
    <row r="205" spans="1:6" x14ac:dyDescent="0.3">
      <c r="A205" t="s">
        <v>3828</v>
      </c>
      <c r="B205" t="s">
        <v>109</v>
      </c>
      <c r="C205" t="s">
        <v>3803</v>
      </c>
      <c r="D205" t="s">
        <v>3228</v>
      </c>
      <c r="E205" t="s">
        <v>3829</v>
      </c>
      <c r="F205" t="s">
        <v>3830</v>
      </c>
    </row>
    <row r="206" spans="1:6" x14ac:dyDescent="0.3">
      <c r="A206" t="s">
        <v>3831</v>
      </c>
      <c r="B206" t="s">
        <v>110</v>
      </c>
      <c r="C206" t="s">
        <v>3764</v>
      </c>
      <c r="D206" t="s">
        <v>3228</v>
      </c>
      <c r="E206" t="s">
        <v>3832</v>
      </c>
      <c r="F206" t="s">
        <v>3833</v>
      </c>
    </row>
    <row r="207" spans="1:6" x14ac:dyDescent="0.3">
      <c r="A207" t="s">
        <v>3104</v>
      </c>
      <c r="B207" t="s">
        <v>111</v>
      </c>
      <c r="C207" t="s">
        <v>3764</v>
      </c>
      <c r="D207" t="s">
        <v>3228</v>
      </c>
      <c r="E207" t="s">
        <v>3834</v>
      </c>
      <c r="F207" t="s">
        <v>3835</v>
      </c>
    </row>
    <row r="208" spans="1:6" x14ac:dyDescent="0.3">
      <c r="A208" t="s">
        <v>3102</v>
      </c>
      <c r="B208" t="s">
        <v>112</v>
      </c>
      <c r="C208" t="s">
        <v>3760</v>
      </c>
      <c r="D208" t="s">
        <v>3228</v>
      </c>
      <c r="E208" t="s">
        <v>3836</v>
      </c>
      <c r="F208" t="s">
        <v>3837</v>
      </c>
    </row>
    <row r="209" spans="1:6" x14ac:dyDescent="0.3">
      <c r="A209" t="s">
        <v>3838</v>
      </c>
      <c r="B209" t="s">
        <v>113</v>
      </c>
      <c r="C209" t="s">
        <v>3839</v>
      </c>
      <c r="D209" t="s">
        <v>3228</v>
      </c>
      <c r="E209" t="s">
        <v>3840</v>
      </c>
      <c r="F209" t="s">
        <v>3841</v>
      </c>
    </row>
    <row r="210" spans="1:6" x14ac:dyDescent="0.3">
      <c r="A210" t="s">
        <v>3842</v>
      </c>
      <c r="B210" t="s">
        <v>114</v>
      </c>
      <c r="C210" t="s">
        <v>3764</v>
      </c>
      <c r="D210" t="s">
        <v>2808</v>
      </c>
      <c r="E210" t="s">
        <v>3843</v>
      </c>
      <c r="F210" t="s">
        <v>3844</v>
      </c>
    </row>
    <row r="211" spans="1:6" x14ac:dyDescent="0.3">
      <c r="A211" t="s">
        <v>3845</v>
      </c>
      <c r="B211" t="s">
        <v>1906</v>
      </c>
      <c r="C211" t="s">
        <v>3846</v>
      </c>
      <c r="D211" t="s">
        <v>3228</v>
      </c>
      <c r="E211" t="s">
        <v>3847</v>
      </c>
      <c r="F211" t="s">
        <v>3848</v>
      </c>
    </row>
    <row r="212" spans="1:6" x14ac:dyDescent="0.3">
      <c r="A212" t="s">
        <v>3849</v>
      </c>
      <c r="B212" t="s">
        <v>1907</v>
      </c>
      <c r="C212" t="s">
        <v>3764</v>
      </c>
      <c r="D212" t="s">
        <v>2808</v>
      </c>
      <c r="E212" t="s">
        <v>3843</v>
      </c>
      <c r="F212" t="s">
        <v>3850</v>
      </c>
    </row>
    <row r="213" spans="1:6" x14ac:dyDescent="0.3">
      <c r="A213" t="s">
        <v>3851</v>
      </c>
      <c r="B213" t="s">
        <v>1934</v>
      </c>
      <c r="C213" t="s">
        <v>3760</v>
      </c>
      <c r="D213" t="s">
        <v>2808</v>
      </c>
      <c r="E213" t="s">
        <v>3852</v>
      </c>
      <c r="F213" t="s">
        <v>3853</v>
      </c>
    </row>
    <row r="214" spans="1:6" x14ac:dyDescent="0.3">
      <c r="A214" t="s">
        <v>3854</v>
      </c>
      <c r="B214" t="s">
        <v>1935</v>
      </c>
      <c r="C214" t="s">
        <v>3764</v>
      </c>
      <c r="D214" t="s">
        <v>2808</v>
      </c>
      <c r="E214" t="s">
        <v>3855</v>
      </c>
      <c r="F214" t="s">
        <v>3856</v>
      </c>
    </row>
    <row r="215" spans="1:6" x14ac:dyDescent="0.3">
      <c r="A215" t="s">
        <v>3857</v>
      </c>
      <c r="B215" t="s">
        <v>1936</v>
      </c>
      <c r="C215" t="s">
        <v>3760</v>
      </c>
      <c r="D215" t="s">
        <v>2808</v>
      </c>
      <c r="E215" t="s">
        <v>3858</v>
      </c>
      <c r="F215" t="s">
        <v>3859</v>
      </c>
    </row>
    <row r="216" spans="1:6" x14ac:dyDescent="0.3">
      <c r="A216" t="s">
        <v>3860</v>
      </c>
      <c r="B216" t="s">
        <v>2549</v>
      </c>
      <c r="C216" t="s">
        <v>3817</v>
      </c>
      <c r="D216" t="s">
        <v>3228</v>
      </c>
      <c r="E216" t="s">
        <v>3861</v>
      </c>
      <c r="F216" t="s">
        <v>3862</v>
      </c>
    </row>
    <row r="217" spans="1:6" x14ac:dyDescent="0.3">
      <c r="A217" t="s">
        <v>3863</v>
      </c>
      <c r="B217" t="s">
        <v>2550</v>
      </c>
      <c r="C217" t="s">
        <v>3760</v>
      </c>
      <c r="D217" t="s">
        <v>3228</v>
      </c>
      <c r="E217" t="s">
        <v>3864</v>
      </c>
      <c r="F217" t="s">
        <v>3865</v>
      </c>
    </row>
    <row r="218" spans="1:6" x14ac:dyDescent="0.3">
      <c r="A218" t="s">
        <v>3866</v>
      </c>
      <c r="B218" t="s">
        <v>2551</v>
      </c>
      <c r="C218" t="s">
        <v>3817</v>
      </c>
      <c r="D218" t="s">
        <v>2808</v>
      </c>
      <c r="E218" t="s">
        <v>3867</v>
      </c>
      <c r="F218" t="s">
        <v>3868</v>
      </c>
    </row>
    <row r="219" spans="1:6" x14ac:dyDescent="0.3">
      <c r="A219" t="s">
        <v>3869</v>
      </c>
      <c r="B219" t="s">
        <v>2552</v>
      </c>
      <c r="C219" t="s">
        <v>3760</v>
      </c>
      <c r="D219" t="s">
        <v>3228</v>
      </c>
      <c r="E219" t="s">
        <v>3870</v>
      </c>
      <c r="F219" t="s">
        <v>3871</v>
      </c>
    </row>
    <row r="220" spans="1:6" x14ac:dyDescent="0.3">
      <c r="A220" t="s">
        <v>3872</v>
      </c>
      <c r="B220" t="s">
        <v>2553</v>
      </c>
      <c r="C220" t="s">
        <v>3846</v>
      </c>
      <c r="D220" t="s">
        <v>3228</v>
      </c>
      <c r="E220" t="s">
        <v>3873</v>
      </c>
      <c r="F220" t="s">
        <v>3874</v>
      </c>
    </row>
    <row r="221" spans="1:6" x14ac:dyDescent="0.3">
      <c r="A221" t="s">
        <v>3875</v>
      </c>
      <c r="B221" t="s">
        <v>2554</v>
      </c>
      <c r="C221" t="s">
        <v>3817</v>
      </c>
      <c r="D221" t="s">
        <v>2808</v>
      </c>
      <c r="E221" t="s">
        <v>3876</v>
      </c>
      <c r="F221" t="s">
        <v>3877</v>
      </c>
    </row>
    <row r="222" spans="1:6" x14ac:dyDescent="0.3">
      <c r="A222" t="s">
        <v>3878</v>
      </c>
      <c r="B222" t="s">
        <v>2555</v>
      </c>
      <c r="C222" t="s">
        <v>3760</v>
      </c>
      <c r="D222" t="s">
        <v>3228</v>
      </c>
      <c r="E222" t="s">
        <v>3879</v>
      </c>
      <c r="F222" t="s">
        <v>3880</v>
      </c>
    </row>
    <row r="223" spans="1:6" x14ac:dyDescent="0.3">
      <c r="A223" s="1"/>
    </row>
    <row r="224" spans="1:6" x14ac:dyDescent="0.3">
      <c r="A224" t="s">
        <v>3779</v>
      </c>
    </row>
    <row r="225" spans="1:6" x14ac:dyDescent="0.3">
      <c r="A225" t="s">
        <v>3881</v>
      </c>
    </row>
    <row r="226" spans="1:6" x14ac:dyDescent="0.3">
      <c r="A226" t="s">
        <v>3882</v>
      </c>
    </row>
    <row r="227" spans="1:6" x14ac:dyDescent="0.3">
      <c r="A227" t="s">
        <v>3883</v>
      </c>
    </row>
    <row r="228" spans="1:6" x14ac:dyDescent="0.3">
      <c r="A228" t="s">
        <v>3884</v>
      </c>
    </row>
    <row r="229" spans="1:6" x14ac:dyDescent="0.3">
      <c r="A229" t="s">
        <v>3885</v>
      </c>
    </row>
    <row r="230" spans="1:6" x14ac:dyDescent="0.3">
      <c r="A230" s="1" t="s">
        <v>3753</v>
      </c>
    </row>
    <row r="231" spans="1:6" x14ac:dyDescent="0.3">
      <c r="A231" s="1" t="s">
        <v>3886</v>
      </c>
    </row>
    <row r="232" spans="1:6" x14ac:dyDescent="0.3">
      <c r="A232" s="1" t="s">
        <v>3753</v>
      </c>
    </row>
    <row r="234" spans="1:6" x14ac:dyDescent="0.3">
      <c r="A234" s="165" t="s">
        <v>2274</v>
      </c>
      <c r="B234" s="165" t="s">
        <v>3755</v>
      </c>
      <c r="C234" s="165" t="s">
        <v>3756</v>
      </c>
      <c r="D234" s="165" t="s">
        <v>3757</v>
      </c>
      <c r="E234" s="165" t="s">
        <v>3758</v>
      </c>
      <c r="F234" s="165" t="s">
        <v>1919</v>
      </c>
    </row>
    <row r="235" spans="1:6" x14ac:dyDescent="0.3">
      <c r="A235" t="s">
        <v>3759</v>
      </c>
      <c r="B235" t="s">
        <v>1781</v>
      </c>
      <c r="C235" t="s">
        <v>3785</v>
      </c>
      <c r="D235" t="s">
        <v>3228</v>
      </c>
      <c r="E235" t="s">
        <v>3887</v>
      </c>
      <c r="F235" t="s">
        <v>3888</v>
      </c>
    </row>
    <row r="236" spans="1:6" x14ac:dyDescent="0.3">
      <c r="A236" t="s">
        <v>3763</v>
      </c>
      <c r="B236" t="s">
        <v>103</v>
      </c>
      <c r="C236" t="s">
        <v>3817</v>
      </c>
      <c r="D236" t="s">
        <v>3228</v>
      </c>
      <c r="E236" t="s">
        <v>3867</v>
      </c>
      <c r="F236" t="s">
        <v>3889</v>
      </c>
    </row>
    <row r="237" spans="1:6" x14ac:dyDescent="0.3">
      <c r="A237" t="s">
        <v>3767</v>
      </c>
      <c r="B237" t="s">
        <v>2</v>
      </c>
      <c r="C237" t="s">
        <v>3817</v>
      </c>
      <c r="D237" t="s">
        <v>3228</v>
      </c>
      <c r="E237" t="s">
        <v>3818</v>
      </c>
      <c r="F237" t="s">
        <v>3890</v>
      </c>
    </row>
    <row r="238" spans="1:6" x14ac:dyDescent="0.3">
      <c r="A238" t="s">
        <v>3770</v>
      </c>
      <c r="B238" t="s">
        <v>1</v>
      </c>
      <c r="C238" t="s">
        <v>3760</v>
      </c>
      <c r="D238" t="s">
        <v>3228</v>
      </c>
      <c r="E238" t="s">
        <v>3738</v>
      </c>
      <c r="F238" t="s">
        <v>3816</v>
      </c>
    </row>
    <row r="239" spans="1:6" x14ac:dyDescent="0.3">
      <c r="A239" t="s">
        <v>3773</v>
      </c>
      <c r="B239" t="s">
        <v>105</v>
      </c>
      <c r="C239" t="s">
        <v>3760</v>
      </c>
      <c r="D239" t="s">
        <v>3228</v>
      </c>
      <c r="E239" t="s">
        <v>3820</v>
      </c>
      <c r="F239" t="s">
        <v>3891</v>
      </c>
    </row>
    <row r="240" spans="1:6" x14ac:dyDescent="0.3">
      <c r="A240" t="s">
        <v>3776</v>
      </c>
      <c r="B240" t="s">
        <v>1782</v>
      </c>
      <c r="C240" t="s">
        <v>3803</v>
      </c>
      <c r="D240" t="s">
        <v>3228</v>
      </c>
      <c r="E240" t="s">
        <v>3804</v>
      </c>
      <c r="F240" t="s">
        <v>3892</v>
      </c>
    </row>
    <row r="241" spans="1:6" x14ac:dyDescent="0.3">
      <c r="A241" t="s">
        <v>3797</v>
      </c>
      <c r="B241" t="s">
        <v>1812</v>
      </c>
      <c r="C241" t="s">
        <v>3803</v>
      </c>
      <c r="D241" t="s">
        <v>3228</v>
      </c>
      <c r="E241" t="s">
        <v>3804</v>
      </c>
      <c r="F241" t="s">
        <v>3893</v>
      </c>
    </row>
    <row r="242" spans="1:6" x14ac:dyDescent="0.3">
      <c r="A242" t="s">
        <v>3101</v>
      </c>
      <c r="B242" t="s">
        <v>1783</v>
      </c>
      <c r="C242" t="s">
        <v>3764</v>
      </c>
      <c r="D242" t="s">
        <v>3228</v>
      </c>
      <c r="E242" t="s">
        <v>3832</v>
      </c>
      <c r="F242" t="s">
        <v>3894</v>
      </c>
    </row>
    <row r="243" spans="1:6" x14ac:dyDescent="0.3">
      <c r="A243" t="s">
        <v>3802</v>
      </c>
      <c r="B243" t="s">
        <v>1784</v>
      </c>
      <c r="C243" t="s">
        <v>3803</v>
      </c>
      <c r="D243" t="s">
        <v>3228</v>
      </c>
      <c r="E243" t="s">
        <v>3804</v>
      </c>
      <c r="F243" t="s">
        <v>3895</v>
      </c>
    </row>
    <row r="244" spans="1:6" x14ac:dyDescent="0.3">
      <c r="A244" t="s">
        <v>3828</v>
      </c>
      <c r="B244" t="s">
        <v>1785</v>
      </c>
      <c r="C244" t="s">
        <v>3803</v>
      </c>
      <c r="D244" t="s">
        <v>3228</v>
      </c>
      <c r="E244" t="s">
        <v>3896</v>
      </c>
      <c r="F244" t="s">
        <v>3897</v>
      </c>
    </row>
    <row r="245" spans="1:6" x14ac:dyDescent="0.3">
      <c r="A245" t="s">
        <v>3831</v>
      </c>
      <c r="B245" t="s">
        <v>1786</v>
      </c>
      <c r="C245" t="s">
        <v>3898</v>
      </c>
      <c r="D245" t="s">
        <v>3228</v>
      </c>
      <c r="E245" t="s">
        <v>3899</v>
      </c>
      <c r="F245" t="s">
        <v>3900</v>
      </c>
    </row>
    <row r="246" spans="1:6" x14ac:dyDescent="0.3">
      <c r="A246" t="s">
        <v>3104</v>
      </c>
      <c r="B246" t="s">
        <v>1787</v>
      </c>
      <c r="C246" t="s">
        <v>3764</v>
      </c>
      <c r="D246" t="s">
        <v>3228</v>
      </c>
      <c r="E246" t="s">
        <v>3834</v>
      </c>
      <c r="F246" t="s">
        <v>3901</v>
      </c>
    </row>
    <row r="247" spans="1:6" x14ac:dyDescent="0.3">
      <c r="A247" t="s">
        <v>3102</v>
      </c>
      <c r="B247" t="s">
        <v>1788</v>
      </c>
      <c r="C247" t="s">
        <v>3803</v>
      </c>
      <c r="D247" t="s">
        <v>3228</v>
      </c>
      <c r="E247" t="s">
        <v>3902</v>
      </c>
      <c r="F247" t="s">
        <v>3903</v>
      </c>
    </row>
    <row r="248" spans="1:6" x14ac:dyDescent="0.3">
      <c r="A248" t="s">
        <v>3838</v>
      </c>
      <c r="B248" t="s">
        <v>1789</v>
      </c>
      <c r="C248" t="s">
        <v>3803</v>
      </c>
      <c r="D248" t="s">
        <v>3228</v>
      </c>
      <c r="E248" t="s">
        <v>3904</v>
      </c>
      <c r="F248" t="s">
        <v>3905</v>
      </c>
    </row>
    <row r="249" spans="1:6" x14ac:dyDescent="0.3">
      <c r="A249" t="s">
        <v>3842</v>
      </c>
      <c r="B249" t="s">
        <v>1790</v>
      </c>
      <c r="C249" t="s">
        <v>3898</v>
      </c>
      <c r="D249" t="s">
        <v>3228</v>
      </c>
      <c r="E249" t="s">
        <v>3906</v>
      </c>
      <c r="F249" t="s">
        <v>3907</v>
      </c>
    </row>
    <row r="250" spans="1:6" x14ac:dyDescent="0.3">
      <c r="A250" t="s">
        <v>3845</v>
      </c>
      <c r="B250" t="s">
        <v>1791</v>
      </c>
      <c r="C250" t="s">
        <v>3764</v>
      </c>
      <c r="D250" t="s">
        <v>3228</v>
      </c>
      <c r="E250" t="s">
        <v>3908</v>
      </c>
      <c r="F250" t="s">
        <v>3909</v>
      </c>
    </row>
    <row r="251" spans="1:6" x14ac:dyDescent="0.3">
      <c r="A251" t="s">
        <v>3849</v>
      </c>
      <c r="B251" t="s">
        <v>1792</v>
      </c>
      <c r="C251" t="s">
        <v>3803</v>
      </c>
      <c r="D251" t="s">
        <v>3228</v>
      </c>
      <c r="E251" t="s">
        <v>3910</v>
      </c>
      <c r="F251" t="s">
        <v>3911</v>
      </c>
    </row>
    <row r="252" spans="1:6" x14ac:dyDescent="0.3">
      <c r="A252" t="s">
        <v>3851</v>
      </c>
      <c r="B252" t="s">
        <v>1793</v>
      </c>
      <c r="C252" t="s">
        <v>3803</v>
      </c>
      <c r="D252" t="s">
        <v>3228</v>
      </c>
      <c r="E252" t="s">
        <v>3912</v>
      </c>
      <c r="F252" t="s">
        <v>3913</v>
      </c>
    </row>
    <row r="253" spans="1:6" x14ac:dyDescent="0.3">
      <c r="A253" t="s">
        <v>3854</v>
      </c>
      <c r="B253" t="s">
        <v>1794</v>
      </c>
      <c r="C253" t="s">
        <v>3898</v>
      </c>
      <c r="D253" t="s">
        <v>3228</v>
      </c>
      <c r="E253" t="s">
        <v>3914</v>
      </c>
      <c r="F253" t="s">
        <v>3915</v>
      </c>
    </row>
    <row r="254" spans="1:6" x14ac:dyDescent="0.3">
      <c r="A254" t="s">
        <v>3857</v>
      </c>
      <c r="B254" t="s">
        <v>113</v>
      </c>
      <c r="C254" t="s">
        <v>3839</v>
      </c>
      <c r="D254" t="s">
        <v>3228</v>
      </c>
      <c r="E254" t="s">
        <v>3840</v>
      </c>
      <c r="F254" t="s">
        <v>3916</v>
      </c>
    </row>
    <row r="255" spans="1:6" x14ac:dyDescent="0.3">
      <c r="A255" t="s">
        <v>3860</v>
      </c>
      <c r="B255" t="s">
        <v>114</v>
      </c>
      <c r="C255" t="s">
        <v>3764</v>
      </c>
      <c r="D255" t="s">
        <v>2808</v>
      </c>
      <c r="E255" t="s">
        <v>3843</v>
      </c>
      <c r="F255" t="s">
        <v>3917</v>
      </c>
    </row>
    <row r="257" spans="1:6" x14ac:dyDescent="0.3">
      <c r="A257" s="1" t="s">
        <v>3918</v>
      </c>
    </row>
    <row r="258" spans="1:6" x14ac:dyDescent="0.3">
      <c r="A258" s="166" t="s">
        <v>3092</v>
      </c>
      <c r="B258" s="166" t="s">
        <v>1786</v>
      </c>
      <c r="C258" s="166" t="s">
        <v>1790</v>
      </c>
      <c r="D258" s="166" t="s">
        <v>1794</v>
      </c>
      <c r="E258" s="166" t="s">
        <v>3093</v>
      </c>
    </row>
    <row r="259" spans="1:6" x14ac:dyDescent="0.3">
      <c r="A259" t="s">
        <v>117</v>
      </c>
      <c r="B259" t="s">
        <v>1928</v>
      </c>
      <c r="C259" t="s">
        <v>1929</v>
      </c>
      <c r="D259" t="s">
        <v>1930</v>
      </c>
      <c r="E259" t="s">
        <v>3919</v>
      </c>
    </row>
    <row r="260" spans="1:6" x14ac:dyDescent="0.3">
      <c r="A260" t="s">
        <v>127</v>
      </c>
      <c r="B260" t="s">
        <v>1931</v>
      </c>
      <c r="C260" t="s">
        <v>1928</v>
      </c>
      <c r="D260" t="s">
        <v>1929</v>
      </c>
      <c r="E260" t="s">
        <v>3919</v>
      </c>
    </row>
    <row r="261" spans="1:6" x14ac:dyDescent="0.3">
      <c r="A261" t="s">
        <v>163</v>
      </c>
      <c r="B261" t="s">
        <v>1932</v>
      </c>
      <c r="C261" t="s">
        <v>1931</v>
      </c>
      <c r="D261" t="s">
        <v>1933</v>
      </c>
      <c r="E261" t="s">
        <v>3920</v>
      </c>
    </row>
    <row r="263" spans="1:6" x14ac:dyDescent="0.3">
      <c r="A263" s="1" t="s">
        <v>3921</v>
      </c>
    </row>
    <row r="264" spans="1:6" x14ac:dyDescent="0.3">
      <c r="A264" t="s">
        <v>3922</v>
      </c>
    </row>
    <row r="265" spans="1:6" x14ac:dyDescent="0.3">
      <c r="A265" t="s">
        <v>3923</v>
      </c>
    </row>
    <row r="266" spans="1:6" x14ac:dyDescent="0.3">
      <c r="A266" t="s">
        <v>3924</v>
      </c>
    </row>
    <row r="268" spans="1:6" x14ac:dyDescent="0.3">
      <c r="A268" s="1" t="s">
        <v>3753</v>
      </c>
    </row>
    <row r="269" spans="1:6" x14ac:dyDescent="0.3">
      <c r="A269" s="1" t="s">
        <v>3925</v>
      </c>
    </row>
    <row r="270" spans="1:6" x14ac:dyDescent="0.3">
      <c r="A270" s="1" t="s">
        <v>3753</v>
      </c>
    </row>
    <row r="272" spans="1:6" x14ac:dyDescent="0.3">
      <c r="A272" s="167" t="s">
        <v>2274</v>
      </c>
      <c r="B272" s="167" t="s">
        <v>3755</v>
      </c>
      <c r="C272" s="167" t="s">
        <v>3756</v>
      </c>
      <c r="D272" s="167" t="s">
        <v>3757</v>
      </c>
      <c r="E272" s="167" t="s">
        <v>3758</v>
      </c>
      <c r="F272" s="167" t="s">
        <v>1919</v>
      </c>
    </row>
    <row r="273" spans="1:6" x14ac:dyDescent="0.3">
      <c r="A273" t="s">
        <v>3759</v>
      </c>
      <c r="B273" t="s">
        <v>2330</v>
      </c>
      <c r="C273" t="s">
        <v>3785</v>
      </c>
      <c r="D273" t="s">
        <v>3228</v>
      </c>
      <c r="E273" t="s">
        <v>3926</v>
      </c>
      <c r="F273" t="s">
        <v>3927</v>
      </c>
    </row>
    <row r="274" spans="1:6" x14ac:dyDescent="0.3">
      <c r="A274" t="s">
        <v>3763</v>
      </c>
      <c r="B274" t="s">
        <v>103</v>
      </c>
      <c r="C274" t="s">
        <v>3817</v>
      </c>
      <c r="D274" t="s">
        <v>3228</v>
      </c>
      <c r="E274" t="s">
        <v>3867</v>
      </c>
      <c r="F274" t="s">
        <v>3889</v>
      </c>
    </row>
    <row r="275" spans="1:6" x14ac:dyDescent="0.3">
      <c r="A275" t="s">
        <v>3767</v>
      </c>
      <c r="B275" t="s">
        <v>104</v>
      </c>
      <c r="C275" t="s">
        <v>3764</v>
      </c>
      <c r="D275" t="s">
        <v>3228</v>
      </c>
      <c r="E275" t="s">
        <v>3928</v>
      </c>
      <c r="F275" t="s">
        <v>3929</v>
      </c>
    </row>
    <row r="276" spans="1:6" x14ac:dyDescent="0.3">
      <c r="A276" t="s">
        <v>3770</v>
      </c>
      <c r="B276" t="s">
        <v>2331</v>
      </c>
      <c r="C276" t="s">
        <v>3803</v>
      </c>
      <c r="D276" t="s">
        <v>3228</v>
      </c>
      <c r="E276" t="s">
        <v>3804</v>
      </c>
      <c r="F276" t="s">
        <v>3830</v>
      </c>
    </row>
    <row r="277" spans="1:6" x14ac:dyDescent="0.3">
      <c r="A277" t="s">
        <v>3773</v>
      </c>
      <c r="B277" t="s">
        <v>2332</v>
      </c>
      <c r="C277" t="s">
        <v>3898</v>
      </c>
      <c r="D277" t="s">
        <v>3228</v>
      </c>
      <c r="E277" t="s">
        <v>3930</v>
      </c>
      <c r="F277" t="s">
        <v>3931</v>
      </c>
    </row>
    <row r="278" spans="1:6" x14ac:dyDescent="0.3">
      <c r="A278" t="s">
        <v>3776</v>
      </c>
      <c r="B278" t="s">
        <v>2333</v>
      </c>
      <c r="C278" t="s">
        <v>3760</v>
      </c>
      <c r="D278" t="s">
        <v>3228</v>
      </c>
      <c r="E278" t="s">
        <v>3932</v>
      </c>
      <c r="F278" t="s">
        <v>3933</v>
      </c>
    </row>
    <row r="279" spans="1:6" x14ac:dyDescent="0.3">
      <c r="A279" t="s">
        <v>3797</v>
      </c>
      <c r="B279" t="s">
        <v>2334</v>
      </c>
      <c r="C279" t="s">
        <v>3764</v>
      </c>
      <c r="D279" t="s">
        <v>3228</v>
      </c>
      <c r="E279" t="s">
        <v>3934</v>
      </c>
      <c r="F279" t="s">
        <v>3935</v>
      </c>
    </row>
    <row r="280" spans="1:6" x14ac:dyDescent="0.3">
      <c r="A280" t="s">
        <v>3101</v>
      </c>
      <c r="B280" t="s">
        <v>2335</v>
      </c>
      <c r="C280" t="s">
        <v>3898</v>
      </c>
      <c r="D280" t="s">
        <v>3228</v>
      </c>
      <c r="E280" t="s">
        <v>3936</v>
      </c>
      <c r="F280" t="s">
        <v>3937</v>
      </c>
    </row>
    <row r="281" spans="1:6" x14ac:dyDescent="0.3">
      <c r="A281" t="s">
        <v>3802</v>
      </c>
      <c r="B281" t="s">
        <v>106</v>
      </c>
      <c r="C281" t="s">
        <v>3898</v>
      </c>
      <c r="D281" t="s">
        <v>3228</v>
      </c>
      <c r="E281" t="s">
        <v>3938</v>
      </c>
      <c r="F281" t="s">
        <v>3939</v>
      </c>
    </row>
    <row r="282" spans="1:6" x14ac:dyDescent="0.3">
      <c r="A282" t="s">
        <v>3828</v>
      </c>
      <c r="B282" t="s">
        <v>2336</v>
      </c>
      <c r="C282" t="s">
        <v>3898</v>
      </c>
      <c r="D282" t="s">
        <v>3228</v>
      </c>
      <c r="E282" t="s">
        <v>3940</v>
      </c>
      <c r="F282" t="s">
        <v>3941</v>
      </c>
    </row>
    <row r="283" spans="1:6" x14ac:dyDescent="0.3">
      <c r="A283" t="s">
        <v>3831</v>
      </c>
      <c r="B283" t="s">
        <v>2337</v>
      </c>
      <c r="C283" t="s">
        <v>3764</v>
      </c>
      <c r="D283" t="s">
        <v>3228</v>
      </c>
      <c r="E283" t="s">
        <v>3942</v>
      </c>
      <c r="F283" t="s">
        <v>3943</v>
      </c>
    </row>
    <row r="284" spans="1:6" x14ac:dyDescent="0.3">
      <c r="A284" t="s">
        <v>3104</v>
      </c>
      <c r="B284" t="s">
        <v>2338</v>
      </c>
      <c r="C284" t="s">
        <v>3764</v>
      </c>
      <c r="D284" t="s">
        <v>3228</v>
      </c>
      <c r="E284" t="s">
        <v>3934</v>
      </c>
      <c r="F284" t="s">
        <v>3944</v>
      </c>
    </row>
    <row r="285" spans="1:6" x14ac:dyDescent="0.3">
      <c r="A285" t="s">
        <v>3102</v>
      </c>
      <c r="B285" t="s">
        <v>2339</v>
      </c>
      <c r="C285" t="s">
        <v>3764</v>
      </c>
      <c r="D285" t="s">
        <v>3228</v>
      </c>
      <c r="E285" t="s">
        <v>3945</v>
      </c>
      <c r="F285" t="s">
        <v>3946</v>
      </c>
    </row>
    <row r="286" spans="1:6" x14ac:dyDescent="0.3">
      <c r="A286" t="s">
        <v>3838</v>
      </c>
      <c r="B286" t="s">
        <v>112</v>
      </c>
      <c r="C286" t="s">
        <v>3760</v>
      </c>
      <c r="D286" t="s">
        <v>3228</v>
      </c>
      <c r="E286" t="s">
        <v>3947</v>
      </c>
      <c r="F286" t="s">
        <v>3948</v>
      </c>
    </row>
    <row r="287" spans="1:6" x14ac:dyDescent="0.3">
      <c r="A287" t="s">
        <v>3842</v>
      </c>
      <c r="B287" t="s">
        <v>114</v>
      </c>
      <c r="C287" t="s">
        <v>3764</v>
      </c>
      <c r="D287" t="s">
        <v>2808</v>
      </c>
      <c r="E287" t="s">
        <v>3843</v>
      </c>
      <c r="F287" t="s">
        <v>3949</v>
      </c>
    </row>
    <row r="288" spans="1:6" x14ac:dyDescent="0.3">
      <c r="A288" t="s">
        <v>3845</v>
      </c>
      <c r="B288" t="s">
        <v>2701</v>
      </c>
      <c r="C288" t="s">
        <v>3817</v>
      </c>
      <c r="D288" t="s">
        <v>2808</v>
      </c>
      <c r="E288" t="s">
        <v>3950</v>
      </c>
      <c r="F288" t="s">
        <v>3951</v>
      </c>
    </row>
    <row r="289" spans="1:6" x14ac:dyDescent="0.3">
      <c r="A289" s="1"/>
    </row>
    <row r="290" spans="1:6" x14ac:dyDescent="0.3">
      <c r="A290" s="166" t="s">
        <v>3952</v>
      </c>
      <c r="B290" s="166"/>
      <c r="C290" s="166"/>
    </row>
    <row r="291" spans="1:6" x14ac:dyDescent="0.3">
      <c r="A291" t="s">
        <v>2745</v>
      </c>
      <c r="B291" t="s">
        <v>3050</v>
      </c>
      <c r="C291" t="s">
        <v>3156</v>
      </c>
    </row>
    <row r="292" spans="1:6" x14ac:dyDescent="0.3">
      <c r="A292" s="69">
        <v>46027</v>
      </c>
      <c r="B292" t="s">
        <v>118</v>
      </c>
      <c r="C292" t="s">
        <v>3953</v>
      </c>
    </row>
    <row r="293" spans="1:6" x14ac:dyDescent="0.3">
      <c r="A293" s="69">
        <v>46184</v>
      </c>
      <c r="B293" t="s">
        <v>127</v>
      </c>
      <c r="C293" t="s">
        <v>3954</v>
      </c>
    </row>
    <row r="294" spans="1:6" x14ac:dyDescent="0.3">
      <c r="A294" s="69">
        <v>46375</v>
      </c>
      <c r="B294" t="s">
        <v>128</v>
      </c>
      <c r="C294" t="s">
        <v>3955</v>
      </c>
    </row>
    <row r="295" spans="1:6" x14ac:dyDescent="0.3">
      <c r="A295" t="s">
        <v>2537</v>
      </c>
      <c r="B295" t="s">
        <v>2171</v>
      </c>
      <c r="C295" t="s">
        <v>3956</v>
      </c>
    </row>
    <row r="296" spans="1:6" x14ac:dyDescent="0.3">
      <c r="A296" s="1"/>
    </row>
    <row r="297" spans="1:6" x14ac:dyDescent="0.3">
      <c r="A297" s="1" t="s">
        <v>3753</v>
      </c>
    </row>
    <row r="298" spans="1:6" x14ac:dyDescent="0.3">
      <c r="A298" s="1" t="s">
        <v>3957</v>
      </c>
    </row>
    <row r="299" spans="1:6" x14ac:dyDescent="0.3">
      <c r="A299" t="s">
        <v>3753</v>
      </c>
    </row>
    <row r="300" spans="1:6" x14ac:dyDescent="0.3">
      <c r="A300" s="167"/>
      <c r="B300" s="167"/>
      <c r="C300" s="167"/>
      <c r="D300" s="167"/>
      <c r="E300" s="167"/>
      <c r="F300" s="167"/>
    </row>
    <row r="301" spans="1:6" x14ac:dyDescent="0.3">
      <c r="A301" t="s">
        <v>2274</v>
      </c>
      <c r="B301" t="s">
        <v>3755</v>
      </c>
      <c r="C301" t="s">
        <v>3756</v>
      </c>
      <c r="D301" t="s">
        <v>3757</v>
      </c>
      <c r="E301" t="s">
        <v>3758</v>
      </c>
      <c r="F301" t="s">
        <v>1919</v>
      </c>
    </row>
    <row r="302" spans="1:6" x14ac:dyDescent="0.3">
      <c r="A302" t="s">
        <v>3759</v>
      </c>
      <c r="B302" t="s">
        <v>2280</v>
      </c>
      <c r="C302" t="s">
        <v>3785</v>
      </c>
      <c r="D302" t="s">
        <v>3228</v>
      </c>
      <c r="E302" t="s">
        <v>3958</v>
      </c>
      <c r="F302" t="s">
        <v>3959</v>
      </c>
    </row>
    <row r="303" spans="1:6" x14ac:dyDescent="0.3">
      <c r="A303" t="s">
        <v>3763</v>
      </c>
      <c r="B303" t="s">
        <v>103</v>
      </c>
      <c r="C303" t="s">
        <v>3817</v>
      </c>
      <c r="D303" t="s">
        <v>3228</v>
      </c>
      <c r="E303" t="s">
        <v>3867</v>
      </c>
      <c r="F303" t="s">
        <v>3960</v>
      </c>
    </row>
    <row r="304" spans="1:6" x14ac:dyDescent="0.3">
      <c r="A304" t="s">
        <v>3767</v>
      </c>
      <c r="B304" t="s">
        <v>104</v>
      </c>
      <c r="C304" t="s">
        <v>3764</v>
      </c>
      <c r="D304" t="s">
        <v>3228</v>
      </c>
      <c r="E304" t="s">
        <v>3961</v>
      </c>
      <c r="F304" t="s">
        <v>3962</v>
      </c>
    </row>
    <row r="305" spans="1:6" x14ac:dyDescent="0.3">
      <c r="A305" t="s">
        <v>3770</v>
      </c>
      <c r="B305" t="s">
        <v>2</v>
      </c>
      <c r="C305" t="s">
        <v>3817</v>
      </c>
      <c r="D305" t="s">
        <v>3228</v>
      </c>
      <c r="E305" t="s">
        <v>3818</v>
      </c>
      <c r="F305" t="s">
        <v>3963</v>
      </c>
    </row>
    <row r="306" spans="1:6" x14ac:dyDescent="0.3">
      <c r="A306" t="s">
        <v>3773</v>
      </c>
      <c r="B306" t="s">
        <v>487</v>
      </c>
      <c r="C306" t="s">
        <v>3760</v>
      </c>
      <c r="D306" t="s">
        <v>3228</v>
      </c>
      <c r="E306" t="s">
        <v>3964</v>
      </c>
      <c r="F306" t="s">
        <v>3965</v>
      </c>
    </row>
    <row r="307" spans="1:6" x14ac:dyDescent="0.3">
      <c r="A307" t="s">
        <v>3776</v>
      </c>
      <c r="B307" t="s">
        <v>2281</v>
      </c>
      <c r="C307" t="s">
        <v>3760</v>
      </c>
      <c r="D307" t="s">
        <v>3228</v>
      </c>
      <c r="E307" t="s">
        <v>3966</v>
      </c>
      <c r="F307" t="s">
        <v>3967</v>
      </c>
    </row>
    <row r="308" spans="1:6" x14ac:dyDescent="0.3">
      <c r="A308" t="s">
        <v>3797</v>
      </c>
      <c r="B308" t="s">
        <v>2282</v>
      </c>
      <c r="C308" t="s">
        <v>3764</v>
      </c>
      <c r="D308" t="s">
        <v>3228</v>
      </c>
      <c r="E308" t="s">
        <v>3968</v>
      </c>
      <c r="F308" t="s">
        <v>3969</v>
      </c>
    </row>
    <row r="309" spans="1:6" x14ac:dyDescent="0.3">
      <c r="A309" t="s">
        <v>3101</v>
      </c>
      <c r="B309" t="s">
        <v>2283</v>
      </c>
      <c r="C309" t="s">
        <v>3803</v>
      </c>
      <c r="D309" t="s">
        <v>3228</v>
      </c>
      <c r="E309" t="s">
        <v>3804</v>
      </c>
      <c r="F309" t="s">
        <v>3970</v>
      </c>
    </row>
    <row r="310" spans="1:6" x14ac:dyDescent="0.3">
      <c r="A310" t="s">
        <v>3802</v>
      </c>
      <c r="B310" t="s">
        <v>2284</v>
      </c>
      <c r="C310" t="s">
        <v>3760</v>
      </c>
      <c r="D310" t="s">
        <v>3228</v>
      </c>
      <c r="E310" t="s">
        <v>3824</v>
      </c>
      <c r="F310" t="s">
        <v>3971</v>
      </c>
    </row>
    <row r="311" spans="1:6" x14ac:dyDescent="0.3">
      <c r="A311" t="s">
        <v>3828</v>
      </c>
      <c r="B311" t="s">
        <v>1919</v>
      </c>
      <c r="C311" t="s">
        <v>3764</v>
      </c>
      <c r="D311" t="s">
        <v>3228</v>
      </c>
      <c r="E311" t="s">
        <v>3934</v>
      </c>
      <c r="F311" t="s">
        <v>3972</v>
      </c>
    </row>
    <row r="312" spans="1:6" x14ac:dyDescent="0.3">
      <c r="A312" t="s">
        <v>3831</v>
      </c>
      <c r="B312" t="s">
        <v>2285</v>
      </c>
      <c r="C312" t="s">
        <v>3764</v>
      </c>
      <c r="D312" t="s">
        <v>3228</v>
      </c>
      <c r="E312" t="s">
        <v>3973</v>
      </c>
      <c r="F312" t="s">
        <v>3974</v>
      </c>
    </row>
    <row r="313" spans="1:6" x14ac:dyDescent="0.3">
      <c r="A313" t="s">
        <v>3104</v>
      </c>
      <c r="B313" t="s">
        <v>2286</v>
      </c>
      <c r="C313" t="s">
        <v>3764</v>
      </c>
      <c r="D313" t="s">
        <v>3228</v>
      </c>
      <c r="E313" t="s">
        <v>3934</v>
      </c>
      <c r="F313" t="s">
        <v>3975</v>
      </c>
    </row>
    <row r="314" spans="1:6" x14ac:dyDescent="0.3">
      <c r="A314" t="s">
        <v>3102</v>
      </c>
      <c r="B314" t="s">
        <v>112</v>
      </c>
      <c r="C314" t="s">
        <v>3760</v>
      </c>
      <c r="D314" t="s">
        <v>3228</v>
      </c>
      <c r="E314" t="s">
        <v>3976</v>
      </c>
      <c r="F314" t="s">
        <v>3977</v>
      </c>
    </row>
    <row r="315" spans="1:6" x14ac:dyDescent="0.3">
      <c r="A315" t="s">
        <v>3838</v>
      </c>
      <c r="B315" t="s">
        <v>2287</v>
      </c>
      <c r="C315" t="s">
        <v>3978</v>
      </c>
      <c r="D315" t="s">
        <v>2808</v>
      </c>
      <c r="E315" t="s">
        <v>3979</v>
      </c>
      <c r="F315" t="s">
        <v>3980</v>
      </c>
    </row>
    <row r="317" spans="1:6" x14ac:dyDescent="0.3">
      <c r="A317" s="1" t="s">
        <v>3753</v>
      </c>
    </row>
    <row r="318" spans="1:6" x14ac:dyDescent="0.3">
      <c r="A318" s="1" t="s">
        <v>3981</v>
      </c>
    </row>
    <row r="319" spans="1:6" x14ac:dyDescent="0.3">
      <c r="A319" s="1" t="s">
        <v>3753</v>
      </c>
    </row>
    <row r="321" spans="1:6" x14ac:dyDescent="0.3">
      <c r="A321" s="167" t="s">
        <v>2274</v>
      </c>
      <c r="B321" s="167" t="s">
        <v>3755</v>
      </c>
      <c r="C321" s="167" t="s">
        <v>3756</v>
      </c>
      <c r="D321" s="167" t="s">
        <v>3757</v>
      </c>
      <c r="E321" s="167" t="s">
        <v>3758</v>
      </c>
      <c r="F321" s="167" t="s">
        <v>1919</v>
      </c>
    </row>
    <row r="322" spans="1:6" x14ac:dyDescent="0.3">
      <c r="A322" t="s">
        <v>3759</v>
      </c>
      <c r="B322" t="s">
        <v>2587</v>
      </c>
      <c r="C322" t="s">
        <v>3785</v>
      </c>
      <c r="D322" t="s">
        <v>3228</v>
      </c>
      <c r="E322" t="s">
        <v>3982</v>
      </c>
      <c r="F322" t="s">
        <v>3983</v>
      </c>
    </row>
    <row r="323" spans="1:6" x14ac:dyDescent="0.3">
      <c r="A323" t="s">
        <v>3763</v>
      </c>
      <c r="B323" t="s">
        <v>103</v>
      </c>
      <c r="C323" t="s">
        <v>3817</v>
      </c>
      <c r="D323" t="s">
        <v>3228</v>
      </c>
      <c r="E323" t="s">
        <v>3867</v>
      </c>
      <c r="F323" t="s">
        <v>3984</v>
      </c>
    </row>
    <row r="324" spans="1:6" x14ac:dyDescent="0.3">
      <c r="A324" t="s">
        <v>3767</v>
      </c>
      <c r="B324" t="s">
        <v>104</v>
      </c>
      <c r="C324" t="s">
        <v>3764</v>
      </c>
      <c r="D324" t="s">
        <v>3228</v>
      </c>
      <c r="E324" t="s">
        <v>3961</v>
      </c>
      <c r="F324" t="s">
        <v>3985</v>
      </c>
    </row>
    <row r="325" spans="1:6" x14ac:dyDescent="0.3">
      <c r="A325" t="s">
        <v>3770</v>
      </c>
      <c r="B325" t="s">
        <v>2588</v>
      </c>
      <c r="C325" t="s">
        <v>3817</v>
      </c>
      <c r="D325" t="s">
        <v>3228</v>
      </c>
      <c r="E325" t="s">
        <v>3867</v>
      </c>
      <c r="F325" t="s">
        <v>3986</v>
      </c>
    </row>
    <row r="326" spans="1:6" x14ac:dyDescent="0.3">
      <c r="A326" t="s">
        <v>3773</v>
      </c>
      <c r="B326" t="s">
        <v>2589</v>
      </c>
      <c r="C326" t="s">
        <v>3764</v>
      </c>
      <c r="D326" t="s">
        <v>3228</v>
      </c>
      <c r="E326" t="s">
        <v>3961</v>
      </c>
      <c r="F326" t="s">
        <v>3987</v>
      </c>
    </row>
    <row r="327" spans="1:6" x14ac:dyDescent="0.3">
      <c r="A327" t="s">
        <v>3776</v>
      </c>
      <c r="B327" t="s">
        <v>2590</v>
      </c>
      <c r="C327" t="s">
        <v>3760</v>
      </c>
      <c r="D327" t="s">
        <v>3228</v>
      </c>
      <c r="E327" t="s">
        <v>3988</v>
      </c>
      <c r="F327" t="s">
        <v>3989</v>
      </c>
    </row>
    <row r="328" spans="1:6" x14ac:dyDescent="0.3">
      <c r="A328" t="s">
        <v>3797</v>
      </c>
      <c r="B328" t="s">
        <v>112</v>
      </c>
      <c r="C328" t="s">
        <v>3760</v>
      </c>
      <c r="D328" t="s">
        <v>3228</v>
      </c>
      <c r="E328" t="s">
        <v>3990</v>
      </c>
      <c r="F328" t="s">
        <v>3991</v>
      </c>
    </row>
    <row r="329" spans="1:6" x14ac:dyDescent="0.3">
      <c r="A329" t="s">
        <v>3101</v>
      </c>
      <c r="B329" t="s">
        <v>2591</v>
      </c>
      <c r="C329" t="s">
        <v>3764</v>
      </c>
      <c r="D329" t="s">
        <v>3228</v>
      </c>
      <c r="E329" t="s">
        <v>3973</v>
      </c>
      <c r="F329" t="s">
        <v>3992</v>
      </c>
    </row>
    <row r="330" spans="1:6" x14ac:dyDescent="0.3">
      <c r="A330" t="s">
        <v>3802</v>
      </c>
      <c r="B330" t="s">
        <v>114</v>
      </c>
      <c r="C330" t="s">
        <v>3764</v>
      </c>
      <c r="D330" t="s">
        <v>2808</v>
      </c>
      <c r="E330" t="s">
        <v>3843</v>
      </c>
      <c r="F330" t="s">
        <v>3949</v>
      </c>
    </row>
    <row r="335" spans="1:6" x14ac:dyDescent="0.3">
      <c r="A335" s="1" t="s">
        <v>3753</v>
      </c>
    </row>
    <row r="336" spans="1:6" x14ac:dyDescent="0.3">
      <c r="A336" s="1" t="s">
        <v>3993</v>
      </c>
    </row>
    <row r="337" spans="1:6" x14ac:dyDescent="0.3">
      <c r="A337" s="1" t="s">
        <v>3753</v>
      </c>
    </row>
    <row r="339" spans="1:6" x14ac:dyDescent="0.3">
      <c r="A339" s="131" t="s">
        <v>2274</v>
      </c>
      <c r="B339" s="131" t="s">
        <v>3755</v>
      </c>
      <c r="C339" s="131" t="s">
        <v>3756</v>
      </c>
      <c r="D339" s="131" t="s">
        <v>3757</v>
      </c>
      <c r="E339" s="131" t="s">
        <v>3758</v>
      </c>
      <c r="F339" s="131" t="s">
        <v>1919</v>
      </c>
    </row>
    <row r="340" spans="1:6" x14ac:dyDescent="0.3">
      <c r="A340" t="s">
        <v>3759</v>
      </c>
      <c r="B340" t="s">
        <v>2638</v>
      </c>
      <c r="C340" t="s">
        <v>3785</v>
      </c>
      <c r="D340" t="s">
        <v>3228</v>
      </c>
      <c r="E340" t="s">
        <v>3994</v>
      </c>
      <c r="F340" t="s">
        <v>3995</v>
      </c>
    </row>
    <row r="341" spans="1:6" x14ac:dyDescent="0.3">
      <c r="A341" t="s">
        <v>3763</v>
      </c>
      <c r="B341" t="s">
        <v>103</v>
      </c>
      <c r="C341" t="s">
        <v>3817</v>
      </c>
      <c r="D341" t="s">
        <v>3228</v>
      </c>
      <c r="E341" t="s">
        <v>3867</v>
      </c>
      <c r="F341" t="s">
        <v>3889</v>
      </c>
    </row>
    <row r="342" spans="1:6" x14ac:dyDescent="0.3">
      <c r="A342" t="s">
        <v>3767</v>
      </c>
      <c r="B342" t="s">
        <v>104</v>
      </c>
      <c r="C342" t="s">
        <v>3764</v>
      </c>
      <c r="D342" t="s">
        <v>3228</v>
      </c>
      <c r="E342" t="s">
        <v>3961</v>
      </c>
      <c r="F342" t="s">
        <v>3962</v>
      </c>
    </row>
    <row r="343" spans="1:6" x14ac:dyDescent="0.3">
      <c r="A343" t="s">
        <v>3770</v>
      </c>
      <c r="B343" t="s">
        <v>2639</v>
      </c>
      <c r="C343" t="s">
        <v>3760</v>
      </c>
      <c r="D343" t="s">
        <v>3228</v>
      </c>
      <c r="E343" t="s">
        <v>3996</v>
      </c>
      <c r="F343" t="s">
        <v>3997</v>
      </c>
    </row>
    <row r="344" spans="1:6" x14ac:dyDescent="0.3">
      <c r="A344" t="s">
        <v>3773</v>
      </c>
      <c r="B344" t="s">
        <v>2640</v>
      </c>
      <c r="C344" t="s">
        <v>3817</v>
      </c>
      <c r="D344" t="s">
        <v>3228</v>
      </c>
      <c r="E344" t="s">
        <v>3950</v>
      </c>
      <c r="F344" t="s">
        <v>3998</v>
      </c>
    </row>
    <row r="345" spans="1:6" x14ac:dyDescent="0.3">
      <c r="A345" t="s">
        <v>3776</v>
      </c>
      <c r="B345" t="s">
        <v>2641</v>
      </c>
      <c r="C345" t="s">
        <v>3764</v>
      </c>
      <c r="D345" t="s">
        <v>3228</v>
      </c>
      <c r="E345" t="s">
        <v>3961</v>
      </c>
      <c r="F345" t="s">
        <v>3999</v>
      </c>
    </row>
    <row r="346" spans="1:6" x14ac:dyDescent="0.3">
      <c r="A346" t="s">
        <v>3797</v>
      </c>
      <c r="B346" t="s">
        <v>2642</v>
      </c>
      <c r="C346" t="s">
        <v>3764</v>
      </c>
      <c r="D346" t="s">
        <v>3228</v>
      </c>
      <c r="E346" t="s">
        <v>4000</v>
      </c>
      <c r="F346" t="s">
        <v>4001</v>
      </c>
    </row>
    <row r="347" spans="1:6" x14ac:dyDescent="0.3">
      <c r="A347" t="s">
        <v>3101</v>
      </c>
      <c r="B347" t="s">
        <v>2643</v>
      </c>
      <c r="C347" t="s">
        <v>3803</v>
      </c>
      <c r="D347" t="s">
        <v>3228</v>
      </c>
      <c r="E347" t="s">
        <v>3804</v>
      </c>
      <c r="F347" t="s">
        <v>4002</v>
      </c>
    </row>
    <row r="348" spans="1:6" x14ac:dyDescent="0.3">
      <c r="A348" t="s">
        <v>3802</v>
      </c>
      <c r="B348" t="s">
        <v>2644</v>
      </c>
      <c r="C348" t="s">
        <v>3803</v>
      </c>
      <c r="D348" t="s">
        <v>2808</v>
      </c>
      <c r="E348" t="s">
        <v>3804</v>
      </c>
      <c r="F348" t="s">
        <v>4003</v>
      </c>
    </row>
    <row r="349" spans="1:6" x14ac:dyDescent="0.3">
      <c r="A349" t="s">
        <v>3828</v>
      </c>
      <c r="B349" t="s">
        <v>2645</v>
      </c>
      <c r="C349" t="s">
        <v>3760</v>
      </c>
      <c r="D349" t="s">
        <v>3228</v>
      </c>
      <c r="E349" t="s">
        <v>4004</v>
      </c>
      <c r="F349" t="s">
        <v>4005</v>
      </c>
    </row>
    <row r="350" spans="1:6" x14ac:dyDescent="0.3">
      <c r="A350" t="s">
        <v>3831</v>
      </c>
      <c r="B350" t="s">
        <v>2646</v>
      </c>
      <c r="C350" t="s">
        <v>3764</v>
      </c>
      <c r="D350" t="s">
        <v>2808</v>
      </c>
      <c r="E350" t="s">
        <v>3934</v>
      </c>
      <c r="F350" t="s">
        <v>4006</v>
      </c>
    </row>
    <row r="351" spans="1:6" x14ac:dyDescent="0.3">
      <c r="A351" t="s">
        <v>3104</v>
      </c>
      <c r="B351" t="s">
        <v>2647</v>
      </c>
      <c r="C351" t="s">
        <v>3764</v>
      </c>
      <c r="D351" t="s">
        <v>2808</v>
      </c>
      <c r="E351" t="s">
        <v>4007</v>
      </c>
      <c r="F351" t="s">
        <v>4008</v>
      </c>
    </row>
    <row r="352" spans="1:6" x14ac:dyDescent="0.3">
      <c r="A352" s="1"/>
    </row>
    <row r="353" spans="1:6" x14ac:dyDescent="0.3">
      <c r="A353" t="s">
        <v>4009</v>
      </c>
    </row>
    <row r="354" spans="1:6" x14ac:dyDescent="0.3">
      <c r="A354" t="s">
        <v>2705</v>
      </c>
    </row>
    <row r="355" spans="1:6" x14ac:dyDescent="0.3">
      <c r="A355" s="1"/>
    </row>
    <row r="356" spans="1:6" x14ac:dyDescent="0.3">
      <c r="A356" s="1" t="s">
        <v>3753</v>
      </c>
    </row>
    <row r="357" spans="1:6" x14ac:dyDescent="0.3">
      <c r="A357" s="1" t="s">
        <v>4010</v>
      </c>
    </row>
    <row r="358" spans="1:6" x14ac:dyDescent="0.3">
      <c r="A358" t="s">
        <v>3753</v>
      </c>
    </row>
    <row r="359" spans="1:6" x14ac:dyDescent="0.3">
      <c r="A359" t="s">
        <v>4011</v>
      </c>
    </row>
    <row r="360" spans="1:6" x14ac:dyDescent="0.3">
      <c r="A360" s="131"/>
      <c r="B360" s="131"/>
      <c r="C360" s="131"/>
      <c r="D360" s="131"/>
      <c r="E360" s="131"/>
      <c r="F360" s="131"/>
    </row>
    <row r="361" spans="1:6" x14ac:dyDescent="0.3">
      <c r="A361" t="s">
        <v>2274</v>
      </c>
      <c r="B361" t="s">
        <v>3755</v>
      </c>
      <c r="C361" t="s">
        <v>3756</v>
      </c>
      <c r="D361" t="s">
        <v>3757</v>
      </c>
      <c r="E361" t="s">
        <v>3758</v>
      </c>
      <c r="F361" t="s">
        <v>1919</v>
      </c>
    </row>
    <row r="362" spans="1:6" x14ac:dyDescent="0.3">
      <c r="A362" t="s">
        <v>3759</v>
      </c>
      <c r="B362" t="s">
        <v>2062</v>
      </c>
      <c r="C362" t="s">
        <v>3764</v>
      </c>
      <c r="D362" t="s">
        <v>2808</v>
      </c>
      <c r="E362" t="s">
        <v>4012</v>
      </c>
      <c r="F362" t="s">
        <v>4013</v>
      </c>
    </row>
    <row r="363" spans="1:6" x14ac:dyDescent="0.3">
      <c r="A363" t="s">
        <v>3763</v>
      </c>
      <c r="B363" t="s">
        <v>2063</v>
      </c>
      <c r="C363" t="s">
        <v>3898</v>
      </c>
      <c r="D363" t="s">
        <v>2808</v>
      </c>
      <c r="E363" t="s">
        <v>4014</v>
      </c>
      <c r="F363" t="s">
        <v>4015</v>
      </c>
    </row>
    <row r="364" spans="1:6" x14ac:dyDescent="0.3">
      <c r="A364" t="s">
        <v>3767</v>
      </c>
      <c r="B364" t="s">
        <v>2064</v>
      </c>
      <c r="C364" t="s">
        <v>3803</v>
      </c>
      <c r="D364" t="s">
        <v>3228</v>
      </c>
      <c r="E364" t="s">
        <v>3804</v>
      </c>
      <c r="F364" t="s">
        <v>4016</v>
      </c>
    </row>
    <row r="365" spans="1:6" x14ac:dyDescent="0.3">
      <c r="A365" t="s">
        <v>3770</v>
      </c>
      <c r="B365" t="s">
        <v>2065</v>
      </c>
      <c r="C365" t="s">
        <v>3764</v>
      </c>
      <c r="D365" t="s">
        <v>3228</v>
      </c>
      <c r="E365" t="s">
        <v>4017</v>
      </c>
      <c r="F365" t="s">
        <v>4018</v>
      </c>
    </row>
    <row r="366" spans="1:6" x14ac:dyDescent="0.3">
      <c r="A366" t="s">
        <v>3773</v>
      </c>
      <c r="B366" t="s">
        <v>2066</v>
      </c>
      <c r="C366" t="s">
        <v>3760</v>
      </c>
      <c r="D366" t="s">
        <v>3228</v>
      </c>
      <c r="E366" t="s">
        <v>4019</v>
      </c>
      <c r="F366" t="s">
        <v>4020</v>
      </c>
    </row>
    <row r="367" spans="1:6" x14ac:dyDescent="0.3">
      <c r="A367" t="s">
        <v>3776</v>
      </c>
      <c r="B367" t="s">
        <v>103</v>
      </c>
      <c r="C367" t="s">
        <v>3817</v>
      </c>
      <c r="D367" t="s">
        <v>2808</v>
      </c>
      <c r="E367" t="s">
        <v>3867</v>
      </c>
      <c r="F367" t="s">
        <v>3749</v>
      </c>
    </row>
    <row r="368" spans="1:6" x14ac:dyDescent="0.3">
      <c r="A368" t="s">
        <v>3797</v>
      </c>
      <c r="B368" t="s">
        <v>104</v>
      </c>
      <c r="C368" t="s">
        <v>3764</v>
      </c>
      <c r="D368" t="s">
        <v>2808</v>
      </c>
      <c r="E368" t="s">
        <v>3961</v>
      </c>
      <c r="F368" t="s">
        <v>3962</v>
      </c>
    </row>
    <row r="369" spans="1:6" x14ac:dyDescent="0.3">
      <c r="A369" t="s">
        <v>3101</v>
      </c>
      <c r="B369" t="s">
        <v>1</v>
      </c>
      <c r="C369" t="s">
        <v>3760</v>
      </c>
      <c r="D369" t="s">
        <v>2808</v>
      </c>
      <c r="E369" t="s">
        <v>3738</v>
      </c>
      <c r="F369" t="s">
        <v>4021</v>
      </c>
    </row>
    <row r="370" spans="1:6" x14ac:dyDescent="0.3">
      <c r="A370" t="s">
        <v>3802</v>
      </c>
      <c r="B370" t="s">
        <v>2067</v>
      </c>
      <c r="C370" t="s">
        <v>3764</v>
      </c>
      <c r="D370" t="s">
        <v>2808</v>
      </c>
      <c r="E370" t="s">
        <v>4022</v>
      </c>
      <c r="F370" t="s">
        <v>4023</v>
      </c>
    </row>
    <row r="371" spans="1:6" x14ac:dyDescent="0.3">
      <c r="A371" t="s">
        <v>3828</v>
      </c>
      <c r="B371" t="s">
        <v>114</v>
      </c>
      <c r="C371" t="s">
        <v>3764</v>
      </c>
      <c r="D371" t="s">
        <v>2808</v>
      </c>
      <c r="E371" t="s">
        <v>3843</v>
      </c>
      <c r="F371" t="s">
        <v>4024</v>
      </c>
    </row>
    <row r="373" spans="1:6" x14ac:dyDescent="0.3">
      <c r="A373" s="1" t="s">
        <v>4025</v>
      </c>
    </row>
    <row r="374" spans="1:6" x14ac:dyDescent="0.3">
      <c r="A374" t="s">
        <v>4026</v>
      </c>
    </row>
    <row r="375" spans="1:6" x14ac:dyDescent="0.3">
      <c r="A375" t="s">
        <v>4027</v>
      </c>
    </row>
    <row r="376" spans="1:6" x14ac:dyDescent="0.3">
      <c r="A376" t="s">
        <v>4028</v>
      </c>
    </row>
    <row r="377" spans="1:6" x14ac:dyDescent="0.3">
      <c r="A377" t="s">
        <v>4029</v>
      </c>
    </row>
    <row r="378" spans="1:6" x14ac:dyDescent="0.3">
      <c r="A378" t="s">
        <v>4030</v>
      </c>
    </row>
    <row r="379" spans="1:6" x14ac:dyDescent="0.3">
      <c r="A379" s="1"/>
    </row>
    <row r="380" spans="1:6" x14ac:dyDescent="0.3">
      <c r="A380" s="1" t="s">
        <v>3753</v>
      </c>
    </row>
    <row r="381" spans="1:6" x14ac:dyDescent="0.3">
      <c r="A381" s="1" t="s">
        <v>4031</v>
      </c>
    </row>
    <row r="382" spans="1:6" x14ac:dyDescent="0.3">
      <c r="A382" t="s">
        <v>3753</v>
      </c>
    </row>
    <row r="383" spans="1:6" x14ac:dyDescent="0.3">
      <c r="A383" s="131"/>
      <c r="B383" s="131"/>
      <c r="C383" s="131"/>
      <c r="D383" s="131"/>
      <c r="E383" s="131"/>
      <c r="F383" s="131"/>
    </row>
    <row r="384" spans="1:6" x14ac:dyDescent="0.3">
      <c r="A384" t="s">
        <v>2274</v>
      </c>
      <c r="B384" t="s">
        <v>3755</v>
      </c>
      <c r="C384" t="s">
        <v>3756</v>
      </c>
      <c r="D384" t="s">
        <v>3757</v>
      </c>
      <c r="E384" t="s">
        <v>3758</v>
      </c>
      <c r="F384" t="s">
        <v>1919</v>
      </c>
    </row>
    <row r="385" spans="1:6" x14ac:dyDescent="0.3">
      <c r="A385" t="s">
        <v>3759</v>
      </c>
      <c r="B385" t="s">
        <v>1943</v>
      </c>
      <c r="C385" t="s">
        <v>3785</v>
      </c>
      <c r="D385" t="s">
        <v>3228</v>
      </c>
      <c r="E385" t="s">
        <v>4032</v>
      </c>
      <c r="F385" t="s">
        <v>4033</v>
      </c>
    </row>
    <row r="386" spans="1:6" x14ac:dyDescent="0.3">
      <c r="A386" t="s">
        <v>3763</v>
      </c>
      <c r="B386" t="s">
        <v>935</v>
      </c>
      <c r="C386" t="s">
        <v>3817</v>
      </c>
      <c r="D386" t="s">
        <v>3228</v>
      </c>
      <c r="E386" t="s">
        <v>3950</v>
      </c>
      <c r="F386" t="s">
        <v>4034</v>
      </c>
    </row>
    <row r="387" spans="1:6" x14ac:dyDescent="0.3">
      <c r="A387" t="s">
        <v>3767</v>
      </c>
      <c r="B387" t="s">
        <v>1944</v>
      </c>
      <c r="C387" t="s">
        <v>3764</v>
      </c>
      <c r="D387" t="s">
        <v>3228</v>
      </c>
      <c r="E387" t="s">
        <v>3961</v>
      </c>
      <c r="F387" t="s">
        <v>4035</v>
      </c>
    </row>
    <row r="388" spans="1:6" x14ac:dyDescent="0.3">
      <c r="A388" t="s">
        <v>3770</v>
      </c>
      <c r="B388" t="s">
        <v>1</v>
      </c>
      <c r="C388" t="s">
        <v>3760</v>
      </c>
      <c r="D388" t="s">
        <v>3228</v>
      </c>
      <c r="E388" t="s">
        <v>3738</v>
      </c>
      <c r="F388" t="s">
        <v>4036</v>
      </c>
    </row>
    <row r="389" spans="1:6" x14ac:dyDescent="0.3">
      <c r="A389" t="s">
        <v>3773</v>
      </c>
      <c r="B389" t="s">
        <v>936</v>
      </c>
      <c r="C389" t="s">
        <v>3764</v>
      </c>
      <c r="D389" t="s">
        <v>3228</v>
      </c>
      <c r="E389" t="s">
        <v>4037</v>
      </c>
      <c r="F389" t="s">
        <v>4038</v>
      </c>
    </row>
    <row r="390" spans="1:6" x14ac:dyDescent="0.3">
      <c r="A390" t="s">
        <v>3776</v>
      </c>
      <c r="B390" t="s">
        <v>1945</v>
      </c>
      <c r="C390" t="s">
        <v>3803</v>
      </c>
      <c r="D390" t="s">
        <v>3228</v>
      </c>
      <c r="E390" t="s">
        <v>3804</v>
      </c>
      <c r="F390" t="s">
        <v>4039</v>
      </c>
    </row>
    <row r="391" spans="1:6" x14ac:dyDescent="0.3">
      <c r="A391" t="s">
        <v>3797</v>
      </c>
      <c r="B391" t="s">
        <v>1946</v>
      </c>
      <c r="C391" t="s">
        <v>3803</v>
      </c>
      <c r="D391" t="s">
        <v>3228</v>
      </c>
      <c r="E391" t="s">
        <v>4040</v>
      </c>
      <c r="F391" t="s">
        <v>4041</v>
      </c>
    </row>
    <row r="392" spans="1:6" x14ac:dyDescent="0.3">
      <c r="A392" t="s">
        <v>3101</v>
      </c>
      <c r="B392" t="s">
        <v>1947</v>
      </c>
      <c r="C392" t="s">
        <v>3760</v>
      </c>
      <c r="D392" t="s">
        <v>3228</v>
      </c>
      <c r="E392" t="s">
        <v>4042</v>
      </c>
      <c r="F392" t="s">
        <v>4043</v>
      </c>
    </row>
    <row r="393" spans="1:6" x14ac:dyDescent="0.3">
      <c r="A393" t="s">
        <v>3802</v>
      </c>
      <c r="B393" t="s">
        <v>1948</v>
      </c>
      <c r="C393" t="s">
        <v>3898</v>
      </c>
      <c r="D393" t="s">
        <v>3228</v>
      </c>
      <c r="E393" t="s">
        <v>4044</v>
      </c>
      <c r="F393" t="s">
        <v>4045</v>
      </c>
    </row>
    <row r="394" spans="1:6" x14ac:dyDescent="0.3">
      <c r="A394" t="s">
        <v>3828</v>
      </c>
      <c r="B394" t="s">
        <v>1949</v>
      </c>
      <c r="C394" t="s">
        <v>3817</v>
      </c>
      <c r="D394" t="s">
        <v>2808</v>
      </c>
      <c r="E394" t="s">
        <v>3867</v>
      </c>
      <c r="F394" t="s">
        <v>4046</v>
      </c>
    </row>
    <row r="395" spans="1:6" x14ac:dyDescent="0.3">
      <c r="A395" t="s">
        <v>3831</v>
      </c>
      <c r="B395" t="s">
        <v>1950</v>
      </c>
      <c r="C395" t="s">
        <v>3764</v>
      </c>
      <c r="D395" t="s">
        <v>2808</v>
      </c>
      <c r="E395" t="s">
        <v>4047</v>
      </c>
      <c r="F395" t="s">
        <v>4048</v>
      </c>
    </row>
    <row r="396" spans="1:6" x14ac:dyDescent="0.3">
      <c r="A396" s="1" t="s">
        <v>3104</v>
      </c>
      <c r="B396" t="s">
        <v>2336</v>
      </c>
      <c r="C396" t="s">
        <v>3760</v>
      </c>
      <c r="D396" t="s">
        <v>3228</v>
      </c>
      <c r="E396" t="s">
        <v>3824</v>
      </c>
      <c r="F396" t="s">
        <v>4049</v>
      </c>
    </row>
    <row r="398" spans="1:6" x14ac:dyDescent="0.3">
      <c r="A398" t="s">
        <v>4050</v>
      </c>
    </row>
    <row r="399" spans="1:6" x14ac:dyDescent="0.3">
      <c r="A399" t="s">
        <v>4051</v>
      </c>
    </row>
    <row r="400" spans="1:6" x14ac:dyDescent="0.3">
      <c r="A400" t="s">
        <v>4052</v>
      </c>
    </row>
    <row r="401" spans="1:6" x14ac:dyDescent="0.3">
      <c r="A401" t="s">
        <v>4053</v>
      </c>
    </row>
    <row r="402" spans="1:6" x14ac:dyDescent="0.3">
      <c r="A402" t="s">
        <v>4054</v>
      </c>
    </row>
    <row r="405" spans="1:6" x14ac:dyDescent="0.3">
      <c r="A405" s="1" t="s">
        <v>3753</v>
      </c>
    </row>
    <row r="406" spans="1:6" x14ac:dyDescent="0.3">
      <c r="A406" s="1" t="s">
        <v>4055</v>
      </c>
    </row>
    <row r="407" spans="1:6" x14ac:dyDescent="0.3">
      <c r="A407" s="1" t="s">
        <v>3753</v>
      </c>
    </row>
    <row r="409" spans="1:6" x14ac:dyDescent="0.3">
      <c r="A409" s="131" t="s">
        <v>2274</v>
      </c>
      <c r="B409" s="131" t="s">
        <v>3755</v>
      </c>
      <c r="C409" s="131" t="s">
        <v>3756</v>
      </c>
      <c r="D409" s="131" t="s">
        <v>3757</v>
      </c>
      <c r="E409" s="131" t="s">
        <v>3758</v>
      </c>
      <c r="F409" s="131" t="s">
        <v>1919</v>
      </c>
    </row>
    <row r="410" spans="1:6" x14ac:dyDescent="0.3">
      <c r="A410" t="s">
        <v>3759</v>
      </c>
      <c r="B410" t="s">
        <v>1235</v>
      </c>
      <c r="C410" t="s">
        <v>3764</v>
      </c>
      <c r="D410" t="s">
        <v>3228</v>
      </c>
      <c r="E410" t="s">
        <v>4056</v>
      </c>
      <c r="F410" t="s">
        <v>4057</v>
      </c>
    </row>
    <row r="411" spans="1:6" x14ac:dyDescent="0.3">
      <c r="A411" t="s">
        <v>3763</v>
      </c>
      <c r="B411" t="s">
        <v>2</v>
      </c>
      <c r="C411" t="s">
        <v>3817</v>
      </c>
      <c r="D411" t="s">
        <v>3228</v>
      </c>
      <c r="E411" t="s">
        <v>3818</v>
      </c>
      <c r="F411" t="s">
        <v>4058</v>
      </c>
    </row>
    <row r="412" spans="1:6" x14ac:dyDescent="0.3">
      <c r="A412" t="s">
        <v>3767</v>
      </c>
      <c r="B412" t="s">
        <v>1</v>
      </c>
      <c r="C412" t="s">
        <v>3760</v>
      </c>
      <c r="D412" t="s">
        <v>3228</v>
      </c>
      <c r="E412" t="s">
        <v>3738</v>
      </c>
      <c r="F412" t="s">
        <v>3816</v>
      </c>
    </row>
    <row r="413" spans="1:6" x14ac:dyDescent="0.3">
      <c r="A413" t="s">
        <v>3770</v>
      </c>
      <c r="B413" t="s">
        <v>487</v>
      </c>
      <c r="C413" t="s">
        <v>3760</v>
      </c>
      <c r="D413" t="s">
        <v>3228</v>
      </c>
      <c r="E413" t="s">
        <v>4059</v>
      </c>
      <c r="F413" t="s">
        <v>4060</v>
      </c>
    </row>
    <row r="414" spans="1:6" x14ac:dyDescent="0.3">
      <c r="A414" t="s">
        <v>3773</v>
      </c>
      <c r="B414" t="s">
        <v>1236</v>
      </c>
      <c r="C414" t="s">
        <v>3764</v>
      </c>
      <c r="D414" t="s">
        <v>3228</v>
      </c>
      <c r="E414" t="s">
        <v>4061</v>
      </c>
      <c r="F414" t="s">
        <v>4062</v>
      </c>
    </row>
    <row r="415" spans="1:6" x14ac:dyDescent="0.3">
      <c r="A415" t="s">
        <v>3776</v>
      </c>
      <c r="B415" t="s">
        <v>1237</v>
      </c>
      <c r="C415" t="s">
        <v>3764</v>
      </c>
      <c r="D415" t="s">
        <v>3228</v>
      </c>
      <c r="E415" t="s">
        <v>4063</v>
      </c>
      <c r="F415" t="s">
        <v>4064</v>
      </c>
    </row>
    <row r="416" spans="1:6" x14ac:dyDescent="0.3">
      <c r="A416" t="s">
        <v>3797</v>
      </c>
      <c r="B416" t="s">
        <v>1238</v>
      </c>
      <c r="C416" t="s">
        <v>3803</v>
      </c>
      <c r="D416" t="s">
        <v>3228</v>
      </c>
      <c r="E416" t="s">
        <v>3804</v>
      </c>
      <c r="F416" t="s">
        <v>4065</v>
      </c>
    </row>
    <row r="417" spans="1:6" x14ac:dyDescent="0.3">
      <c r="A417" t="s">
        <v>3101</v>
      </c>
      <c r="B417" t="s">
        <v>1239</v>
      </c>
      <c r="C417" t="s">
        <v>3764</v>
      </c>
      <c r="D417" t="s">
        <v>3228</v>
      </c>
      <c r="E417" t="s">
        <v>4066</v>
      </c>
      <c r="F417" t="s">
        <v>4067</v>
      </c>
    </row>
    <row r="418" spans="1:6" x14ac:dyDescent="0.3">
      <c r="A418" t="s">
        <v>3802</v>
      </c>
      <c r="B418" t="s">
        <v>112</v>
      </c>
      <c r="C418" t="s">
        <v>3760</v>
      </c>
      <c r="D418" t="s">
        <v>3228</v>
      </c>
      <c r="E418" t="s">
        <v>4068</v>
      </c>
      <c r="F418" t="s">
        <v>4069</v>
      </c>
    </row>
    <row r="419" spans="1:6" x14ac:dyDescent="0.3">
      <c r="A419" t="s">
        <v>3828</v>
      </c>
      <c r="B419" t="s">
        <v>114</v>
      </c>
      <c r="C419" t="s">
        <v>3764</v>
      </c>
      <c r="D419" t="s">
        <v>2808</v>
      </c>
      <c r="E419" t="s">
        <v>3843</v>
      </c>
      <c r="F419" t="s">
        <v>4070</v>
      </c>
    </row>
    <row r="421" spans="1:6" x14ac:dyDescent="0.3">
      <c r="A421" s="1" t="s">
        <v>3753</v>
      </c>
    </row>
    <row r="422" spans="1:6" x14ac:dyDescent="0.3">
      <c r="A422" s="1" t="s">
        <v>4071</v>
      </c>
    </row>
    <row r="423" spans="1:6" x14ac:dyDescent="0.3">
      <c r="A423" s="1" t="s">
        <v>3753</v>
      </c>
    </row>
    <row r="425" spans="1:6" x14ac:dyDescent="0.3">
      <c r="A425" s="67" t="s">
        <v>2274</v>
      </c>
      <c r="B425" s="67" t="s">
        <v>3755</v>
      </c>
      <c r="C425" s="67" t="s">
        <v>3756</v>
      </c>
      <c r="D425" s="67" t="s">
        <v>3757</v>
      </c>
      <c r="E425" s="67" t="s">
        <v>3758</v>
      </c>
      <c r="F425" s="67" t="s">
        <v>1919</v>
      </c>
    </row>
    <row r="426" spans="1:6" x14ac:dyDescent="0.3">
      <c r="A426" t="s">
        <v>3759</v>
      </c>
      <c r="B426" t="s">
        <v>863</v>
      </c>
      <c r="C426" t="s">
        <v>3785</v>
      </c>
      <c r="D426" t="s">
        <v>3228</v>
      </c>
      <c r="E426" t="s">
        <v>4072</v>
      </c>
      <c r="F426" t="s">
        <v>4073</v>
      </c>
    </row>
    <row r="427" spans="1:6" x14ac:dyDescent="0.3">
      <c r="A427" t="s">
        <v>3763</v>
      </c>
      <c r="B427" t="s">
        <v>864</v>
      </c>
      <c r="C427" t="s">
        <v>3764</v>
      </c>
      <c r="D427" t="s">
        <v>3228</v>
      </c>
      <c r="E427" t="s">
        <v>3788</v>
      </c>
      <c r="F427" t="s">
        <v>4074</v>
      </c>
    </row>
    <row r="428" spans="1:6" x14ac:dyDescent="0.3">
      <c r="A428" t="s">
        <v>3767</v>
      </c>
      <c r="B428" t="s">
        <v>865</v>
      </c>
      <c r="C428" t="s">
        <v>3764</v>
      </c>
      <c r="D428" t="s">
        <v>3228</v>
      </c>
      <c r="E428" t="s">
        <v>4075</v>
      </c>
      <c r="F428" t="s">
        <v>4076</v>
      </c>
    </row>
    <row r="429" spans="1:6" x14ac:dyDescent="0.3">
      <c r="A429" t="s">
        <v>3770</v>
      </c>
      <c r="B429" t="s">
        <v>1</v>
      </c>
      <c r="C429" t="s">
        <v>3760</v>
      </c>
      <c r="D429" t="s">
        <v>3228</v>
      </c>
      <c r="E429" t="s">
        <v>4077</v>
      </c>
      <c r="F429" t="s">
        <v>4078</v>
      </c>
    </row>
    <row r="430" spans="1:6" x14ac:dyDescent="0.3">
      <c r="A430" t="s">
        <v>3773</v>
      </c>
      <c r="B430" t="s">
        <v>866</v>
      </c>
      <c r="C430" t="s">
        <v>3760</v>
      </c>
      <c r="D430" t="s">
        <v>3228</v>
      </c>
      <c r="E430" t="s">
        <v>4079</v>
      </c>
      <c r="F430" t="s">
        <v>4080</v>
      </c>
    </row>
    <row r="431" spans="1:6" x14ac:dyDescent="0.3">
      <c r="A431" t="s">
        <v>3776</v>
      </c>
      <c r="B431" t="s">
        <v>867</v>
      </c>
      <c r="C431" t="s">
        <v>3764</v>
      </c>
      <c r="D431" t="s">
        <v>3228</v>
      </c>
      <c r="E431" t="s">
        <v>4081</v>
      </c>
      <c r="F431" t="s">
        <v>4082</v>
      </c>
    </row>
    <row r="432" spans="1:6" x14ac:dyDescent="0.3">
      <c r="A432" t="s">
        <v>3797</v>
      </c>
      <c r="B432" t="s">
        <v>112</v>
      </c>
      <c r="C432" t="s">
        <v>3760</v>
      </c>
      <c r="D432" t="s">
        <v>3228</v>
      </c>
      <c r="E432" t="s">
        <v>4083</v>
      </c>
      <c r="F432" t="s">
        <v>4084</v>
      </c>
    </row>
    <row r="433" spans="1:6" x14ac:dyDescent="0.3">
      <c r="A433" t="s">
        <v>3101</v>
      </c>
      <c r="B433" t="s">
        <v>108</v>
      </c>
      <c r="C433" t="s">
        <v>3803</v>
      </c>
      <c r="D433" t="s">
        <v>3228</v>
      </c>
      <c r="E433" t="s">
        <v>3804</v>
      </c>
      <c r="F433" t="s">
        <v>4085</v>
      </c>
    </row>
    <row r="434" spans="1:6" x14ac:dyDescent="0.3">
      <c r="A434" t="s">
        <v>3802</v>
      </c>
      <c r="B434" t="s">
        <v>868</v>
      </c>
      <c r="C434" t="s">
        <v>3764</v>
      </c>
      <c r="D434" t="s">
        <v>3228</v>
      </c>
      <c r="E434" t="s">
        <v>4086</v>
      </c>
      <c r="F434" t="s">
        <v>4087</v>
      </c>
    </row>
    <row r="436" spans="1:6" x14ac:dyDescent="0.3">
      <c r="A436" s="1" t="s">
        <v>3753</v>
      </c>
    </row>
    <row r="437" spans="1:6" x14ac:dyDescent="0.3">
      <c r="A437" s="1" t="s">
        <v>4088</v>
      </c>
    </row>
    <row r="438" spans="1:6" x14ac:dyDescent="0.3">
      <c r="A438" s="1" t="s">
        <v>3753</v>
      </c>
    </row>
    <row r="440" spans="1:6" x14ac:dyDescent="0.3">
      <c r="A440" s="67" t="s">
        <v>2274</v>
      </c>
      <c r="B440" s="67" t="s">
        <v>3755</v>
      </c>
      <c r="C440" s="67" t="s">
        <v>3756</v>
      </c>
      <c r="D440" s="67" t="s">
        <v>3757</v>
      </c>
      <c r="E440" s="67" t="s">
        <v>3758</v>
      </c>
      <c r="F440" s="67" t="s">
        <v>1919</v>
      </c>
    </row>
    <row r="441" spans="1:6" x14ac:dyDescent="0.3">
      <c r="A441" t="s">
        <v>3759</v>
      </c>
      <c r="B441" t="s">
        <v>1717</v>
      </c>
      <c r="C441" t="s">
        <v>3785</v>
      </c>
      <c r="D441" t="s">
        <v>3228</v>
      </c>
      <c r="E441" t="s">
        <v>4089</v>
      </c>
      <c r="F441" t="s">
        <v>4090</v>
      </c>
    </row>
    <row r="442" spans="1:6" x14ac:dyDescent="0.3">
      <c r="A442" t="s">
        <v>3763</v>
      </c>
      <c r="B442" t="s">
        <v>864</v>
      </c>
      <c r="C442" t="s">
        <v>3764</v>
      </c>
      <c r="D442" t="s">
        <v>3228</v>
      </c>
      <c r="E442" t="s">
        <v>3788</v>
      </c>
      <c r="F442" t="s">
        <v>4091</v>
      </c>
    </row>
    <row r="443" spans="1:6" x14ac:dyDescent="0.3">
      <c r="A443" t="s">
        <v>3767</v>
      </c>
      <c r="B443" t="s">
        <v>865</v>
      </c>
      <c r="C443" t="s">
        <v>3764</v>
      </c>
      <c r="D443" t="s">
        <v>3228</v>
      </c>
      <c r="E443" t="s">
        <v>4075</v>
      </c>
      <c r="F443" t="s">
        <v>4076</v>
      </c>
    </row>
    <row r="444" spans="1:6" x14ac:dyDescent="0.3">
      <c r="A444" t="s">
        <v>3770</v>
      </c>
      <c r="B444" t="s">
        <v>1718</v>
      </c>
      <c r="C444" t="s">
        <v>3764</v>
      </c>
      <c r="D444" t="s">
        <v>3228</v>
      </c>
      <c r="E444" t="s">
        <v>4000</v>
      </c>
      <c r="F444" t="s">
        <v>4092</v>
      </c>
    </row>
    <row r="445" spans="1:6" x14ac:dyDescent="0.3">
      <c r="A445" t="s">
        <v>3773</v>
      </c>
      <c r="B445" t="s">
        <v>1</v>
      </c>
      <c r="C445" t="s">
        <v>3760</v>
      </c>
      <c r="D445" t="s">
        <v>3228</v>
      </c>
      <c r="E445" t="s">
        <v>4093</v>
      </c>
      <c r="F445" t="s">
        <v>4078</v>
      </c>
    </row>
    <row r="446" spans="1:6" x14ac:dyDescent="0.3">
      <c r="A446" t="s">
        <v>3776</v>
      </c>
      <c r="B446" t="s">
        <v>1719</v>
      </c>
      <c r="C446" t="s">
        <v>3764</v>
      </c>
      <c r="D446" t="s">
        <v>3228</v>
      </c>
      <c r="E446" t="s">
        <v>4094</v>
      </c>
      <c r="F446" t="s">
        <v>4095</v>
      </c>
    </row>
    <row r="447" spans="1:6" x14ac:dyDescent="0.3">
      <c r="A447" t="s">
        <v>3797</v>
      </c>
      <c r="B447" t="s">
        <v>1720</v>
      </c>
      <c r="C447" t="s">
        <v>3803</v>
      </c>
      <c r="D447" t="s">
        <v>3228</v>
      </c>
      <c r="E447" t="s">
        <v>3804</v>
      </c>
      <c r="F447" t="s">
        <v>4096</v>
      </c>
    </row>
    <row r="448" spans="1:6" x14ac:dyDescent="0.3">
      <c r="A448" t="s">
        <v>3101</v>
      </c>
      <c r="B448" t="s">
        <v>1721</v>
      </c>
      <c r="C448" t="s">
        <v>3764</v>
      </c>
      <c r="D448" t="s">
        <v>3228</v>
      </c>
      <c r="E448" t="s">
        <v>4097</v>
      </c>
      <c r="F448" t="s">
        <v>4098</v>
      </c>
    </row>
    <row r="449" spans="1:6" x14ac:dyDescent="0.3">
      <c r="A449" t="s">
        <v>3802</v>
      </c>
      <c r="B449" t="s">
        <v>112</v>
      </c>
      <c r="C449" t="s">
        <v>3760</v>
      </c>
      <c r="D449" t="s">
        <v>3228</v>
      </c>
      <c r="E449" t="s">
        <v>4099</v>
      </c>
      <c r="F449" t="s">
        <v>4100</v>
      </c>
    </row>
    <row r="450" spans="1:6" x14ac:dyDescent="0.3">
      <c r="A450" t="s">
        <v>3828</v>
      </c>
      <c r="B450" t="s">
        <v>1722</v>
      </c>
      <c r="C450" t="s">
        <v>3803</v>
      </c>
      <c r="D450" t="s">
        <v>3228</v>
      </c>
      <c r="E450" t="s">
        <v>3804</v>
      </c>
      <c r="F450" t="s">
        <v>4101</v>
      </c>
    </row>
    <row r="451" spans="1:6" x14ac:dyDescent="0.3">
      <c r="A451" t="s">
        <v>3831</v>
      </c>
      <c r="B451" t="s">
        <v>114</v>
      </c>
      <c r="C451" t="s">
        <v>3764</v>
      </c>
      <c r="D451" t="s">
        <v>2808</v>
      </c>
      <c r="E451" t="s">
        <v>3843</v>
      </c>
      <c r="F451" t="s">
        <v>4102</v>
      </c>
    </row>
    <row r="452" spans="1:6" x14ac:dyDescent="0.3">
      <c r="A452" s="1"/>
    </row>
    <row r="453" spans="1:6" x14ac:dyDescent="0.3">
      <c r="A453" s="1" t="s">
        <v>3753</v>
      </c>
    </row>
    <row r="454" spans="1:6" x14ac:dyDescent="0.3">
      <c r="A454" s="1" t="s">
        <v>4103</v>
      </c>
    </row>
    <row r="455" spans="1:6" x14ac:dyDescent="0.3">
      <c r="A455" t="s">
        <v>3753</v>
      </c>
    </row>
    <row r="456" spans="1:6" x14ac:dyDescent="0.3">
      <c r="A456" s="1"/>
    </row>
    <row r="457" spans="1:6" x14ac:dyDescent="0.3">
      <c r="A457" t="s">
        <v>4104</v>
      </c>
    </row>
    <row r="458" spans="1:6" x14ac:dyDescent="0.3">
      <c r="A458" t="s">
        <v>4105</v>
      </c>
    </row>
    <row r="459" spans="1:6" x14ac:dyDescent="0.3">
      <c r="A459" t="s">
        <v>4106</v>
      </c>
    </row>
    <row r="460" spans="1:6" x14ac:dyDescent="0.3">
      <c r="A460" t="s">
        <v>4107</v>
      </c>
    </row>
    <row r="462" spans="1:6" x14ac:dyDescent="0.3">
      <c r="A462" s="1" t="s">
        <v>4108</v>
      </c>
    </row>
    <row r="463" spans="1:6" x14ac:dyDescent="0.3">
      <c r="A463" s="166" t="s">
        <v>2274</v>
      </c>
      <c r="B463" s="166" t="s">
        <v>3755</v>
      </c>
      <c r="C463" s="166" t="s">
        <v>1919</v>
      </c>
    </row>
    <row r="464" spans="1:6" x14ac:dyDescent="0.3">
      <c r="A464" t="s">
        <v>3759</v>
      </c>
      <c r="B464" t="s">
        <v>2708</v>
      </c>
      <c r="C464" t="s">
        <v>4109</v>
      </c>
    </row>
    <row r="465" spans="1:3" x14ac:dyDescent="0.3">
      <c r="A465" t="s">
        <v>3763</v>
      </c>
      <c r="B465" t="s">
        <v>2810</v>
      </c>
      <c r="C465" t="s">
        <v>4110</v>
      </c>
    </row>
    <row r="466" spans="1:3" x14ac:dyDescent="0.3">
      <c r="A466" t="s">
        <v>3767</v>
      </c>
      <c r="B466" t="s">
        <v>2794</v>
      </c>
      <c r="C466" t="s">
        <v>4111</v>
      </c>
    </row>
    <row r="467" spans="1:3" x14ac:dyDescent="0.3">
      <c r="A467" t="s">
        <v>3770</v>
      </c>
      <c r="B467" t="s">
        <v>1919</v>
      </c>
      <c r="C467" t="s">
        <v>4112</v>
      </c>
    </row>
    <row r="468" spans="1:3" x14ac:dyDescent="0.3">
      <c r="A468" s="1" t="s">
        <v>3773</v>
      </c>
      <c r="B468" t="s">
        <v>2811</v>
      </c>
      <c r="C468" t="s">
        <v>4113</v>
      </c>
    </row>
    <row r="469" spans="1:3" x14ac:dyDescent="0.3">
      <c r="A469" s="166" t="s">
        <v>3776</v>
      </c>
      <c r="B469" s="166" t="s">
        <v>2812</v>
      </c>
      <c r="C469" s="166" t="s">
        <v>4114</v>
      </c>
    </row>
    <row r="470" spans="1:3" x14ac:dyDescent="0.3">
      <c r="A470" t="s">
        <v>3797</v>
      </c>
      <c r="B470" t="s">
        <v>2710</v>
      </c>
      <c r="C470" t="s">
        <v>4115</v>
      </c>
    </row>
    <row r="472" spans="1:3" x14ac:dyDescent="0.3">
      <c r="A472" t="s">
        <v>4116</v>
      </c>
    </row>
    <row r="473" spans="1:3" x14ac:dyDescent="0.3">
      <c r="A473" t="s">
        <v>2708</v>
      </c>
      <c r="B473" t="s">
        <v>2794</v>
      </c>
      <c r="C473" t="s">
        <v>3272</v>
      </c>
    </row>
    <row r="474" spans="1:3" x14ac:dyDescent="0.3">
      <c r="A474" t="s">
        <v>2711</v>
      </c>
      <c r="B474" s="57">
        <v>0.18</v>
      </c>
      <c r="C474">
        <v>5</v>
      </c>
    </row>
    <row r="475" spans="1:3" x14ac:dyDescent="0.3">
      <c r="A475" t="s">
        <v>2720</v>
      </c>
      <c r="B475" s="57">
        <v>0.15</v>
      </c>
      <c r="C475">
        <v>5</v>
      </c>
    </row>
    <row r="476" spans="1:3" x14ac:dyDescent="0.3">
      <c r="A476" t="s">
        <v>2854</v>
      </c>
      <c r="B476" s="57">
        <v>0.12</v>
      </c>
      <c r="C476">
        <v>5</v>
      </c>
    </row>
    <row r="477" spans="1:3" x14ac:dyDescent="0.3">
      <c r="A477" t="s">
        <v>2867</v>
      </c>
      <c r="B477" s="57">
        <v>0.1</v>
      </c>
      <c r="C477">
        <v>4</v>
      </c>
    </row>
    <row r="478" spans="1:3" x14ac:dyDescent="0.3">
      <c r="A478" t="s">
        <v>2730</v>
      </c>
      <c r="B478" s="57">
        <v>0.1</v>
      </c>
      <c r="C478">
        <v>5</v>
      </c>
    </row>
    <row r="479" spans="1:3" x14ac:dyDescent="0.3">
      <c r="A479" t="s">
        <v>2735</v>
      </c>
      <c r="B479" s="57">
        <v>0.1</v>
      </c>
      <c r="C479">
        <v>4</v>
      </c>
    </row>
    <row r="480" spans="1:3" x14ac:dyDescent="0.3">
      <c r="A480" t="s">
        <v>2739</v>
      </c>
      <c r="B480" s="57">
        <v>0.08</v>
      </c>
      <c r="C480">
        <v>5</v>
      </c>
    </row>
    <row r="481" spans="1:3" x14ac:dyDescent="0.3">
      <c r="A481" t="s">
        <v>2922</v>
      </c>
      <c r="B481" s="57">
        <v>7.0000000000000007E-2</v>
      </c>
      <c r="C481">
        <v>4</v>
      </c>
    </row>
    <row r="482" spans="1:3" x14ac:dyDescent="0.3">
      <c r="A482" t="s">
        <v>2779</v>
      </c>
      <c r="B482" s="57">
        <v>0.05</v>
      </c>
      <c r="C482">
        <v>4</v>
      </c>
    </row>
    <row r="483" spans="1:3" x14ac:dyDescent="0.3">
      <c r="A483" t="s">
        <v>2948</v>
      </c>
      <c r="B483" s="57">
        <v>0.05</v>
      </c>
      <c r="C483">
        <v>3</v>
      </c>
    </row>
    <row r="484" spans="1:3" x14ac:dyDescent="0.3">
      <c r="A484" t="s">
        <v>2744</v>
      </c>
      <c r="B484" s="57">
        <v>1</v>
      </c>
      <c r="C484" t="s">
        <v>3550</v>
      </c>
    </row>
    <row r="485" spans="1:3" x14ac:dyDescent="0.3">
      <c r="A485" s="1" t="s">
        <v>3753</v>
      </c>
    </row>
    <row r="486" spans="1:3" x14ac:dyDescent="0.3">
      <c r="A486" s="1" t="s">
        <v>4117</v>
      </c>
    </row>
    <row r="487" spans="1:3" x14ac:dyDescent="0.3">
      <c r="A487" s="1" t="s">
        <v>3753</v>
      </c>
    </row>
    <row r="489" spans="1:3" x14ac:dyDescent="0.3">
      <c r="A489" s="1" t="s">
        <v>4104</v>
      </c>
    </row>
    <row r="490" spans="1:3" x14ac:dyDescent="0.3">
      <c r="A490" t="s">
        <v>4118</v>
      </c>
    </row>
    <row r="491" spans="1:3" x14ac:dyDescent="0.3">
      <c r="A491" t="s">
        <v>4119</v>
      </c>
    </row>
    <row r="492" spans="1:3" x14ac:dyDescent="0.3">
      <c r="A492" t="s">
        <v>4120</v>
      </c>
    </row>
    <row r="493" spans="1:3" x14ac:dyDescent="0.3">
      <c r="A493" t="s">
        <v>4121</v>
      </c>
    </row>
    <row r="495" spans="1:3" x14ac:dyDescent="0.3">
      <c r="A495" s="1" t="s">
        <v>4122</v>
      </c>
    </row>
    <row r="496" spans="1:3" x14ac:dyDescent="0.3">
      <c r="A496" s="166" t="s">
        <v>4123</v>
      </c>
      <c r="B496" s="166" t="s">
        <v>4124</v>
      </c>
    </row>
    <row r="497" spans="1:3" x14ac:dyDescent="0.3">
      <c r="A497" t="s">
        <v>405</v>
      </c>
      <c r="B497" t="s">
        <v>4125</v>
      </c>
    </row>
    <row r="498" spans="1:3" x14ac:dyDescent="0.3">
      <c r="A498" t="s">
        <v>4126</v>
      </c>
      <c r="B498" t="s">
        <v>4127</v>
      </c>
    </row>
    <row r="499" spans="1:3" x14ac:dyDescent="0.3">
      <c r="A499" t="s">
        <v>406</v>
      </c>
      <c r="B499" t="s">
        <v>4128</v>
      </c>
    </row>
    <row r="500" spans="1:3" x14ac:dyDescent="0.3">
      <c r="A500" t="s">
        <v>404</v>
      </c>
      <c r="B500" t="s">
        <v>4129</v>
      </c>
    </row>
    <row r="501" spans="1:3" x14ac:dyDescent="0.3">
      <c r="A501" t="s">
        <v>4130</v>
      </c>
      <c r="B501" t="s">
        <v>4131</v>
      </c>
    </row>
    <row r="503" spans="1:3" x14ac:dyDescent="0.3">
      <c r="A503" s="1" t="s">
        <v>4132</v>
      </c>
    </row>
    <row r="504" spans="1:3" x14ac:dyDescent="0.3">
      <c r="A504" s="166" t="s">
        <v>382</v>
      </c>
      <c r="B504" s="166" t="s">
        <v>1</v>
      </c>
      <c r="C504" s="166" t="s">
        <v>415</v>
      </c>
    </row>
    <row r="505" spans="1:3" x14ac:dyDescent="0.3">
      <c r="A505" t="s">
        <v>387</v>
      </c>
      <c r="B505" t="s">
        <v>4133</v>
      </c>
      <c r="C505" t="s">
        <v>4134</v>
      </c>
    </row>
    <row r="506" spans="1:3" x14ac:dyDescent="0.3">
      <c r="A506" t="s">
        <v>73</v>
      </c>
      <c r="B506" t="s">
        <v>10</v>
      </c>
      <c r="C506" t="s">
        <v>4135</v>
      </c>
    </row>
    <row r="507" spans="1:3" x14ac:dyDescent="0.3">
      <c r="A507" t="s">
        <v>63</v>
      </c>
      <c r="B507" t="s">
        <v>9</v>
      </c>
      <c r="C507" t="s">
        <v>4134</v>
      </c>
    </row>
    <row r="508" spans="1:3" x14ac:dyDescent="0.3">
      <c r="A508" t="s">
        <v>398</v>
      </c>
      <c r="B508" t="s">
        <v>7</v>
      </c>
      <c r="C508" t="s">
        <v>4136</v>
      </c>
    </row>
    <row r="510" spans="1:3" x14ac:dyDescent="0.3">
      <c r="A510" s="1" t="s">
        <v>3753</v>
      </c>
    </row>
    <row r="511" spans="1:3" x14ac:dyDescent="0.3">
      <c r="A511" s="1" t="s">
        <v>4137</v>
      </c>
    </row>
    <row r="512" spans="1:3" x14ac:dyDescent="0.3">
      <c r="A512" s="1" t="s">
        <v>3753</v>
      </c>
    </row>
    <row r="514" spans="1:4" x14ac:dyDescent="0.3">
      <c r="A514" t="s">
        <v>4138</v>
      </c>
    </row>
    <row r="515" spans="1:4" x14ac:dyDescent="0.3">
      <c r="A515" t="s">
        <v>4139</v>
      </c>
    </row>
    <row r="517" spans="1:4" x14ac:dyDescent="0.3">
      <c r="A517" s="1" t="s">
        <v>4140</v>
      </c>
    </row>
    <row r="518" spans="1:4" x14ac:dyDescent="0.3">
      <c r="A518" s="67" t="s">
        <v>2789</v>
      </c>
      <c r="B518" s="67" t="s">
        <v>3516</v>
      </c>
      <c r="C518" s="67" t="s">
        <v>3517</v>
      </c>
      <c r="D518" s="67" t="s">
        <v>1919</v>
      </c>
    </row>
    <row r="519" spans="1:4" x14ac:dyDescent="0.3">
      <c r="A519">
        <v>1</v>
      </c>
      <c r="B519" t="s">
        <v>0</v>
      </c>
      <c r="C519">
        <v>40</v>
      </c>
      <c r="D519" t="s">
        <v>4141</v>
      </c>
    </row>
    <row r="520" spans="1:4" x14ac:dyDescent="0.3">
      <c r="A520">
        <v>2</v>
      </c>
      <c r="B520" t="s">
        <v>3518</v>
      </c>
      <c r="C520">
        <v>52</v>
      </c>
      <c r="D520" t="s">
        <v>4142</v>
      </c>
    </row>
    <row r="521" spans="1:4" x14ac:dyDescent="0.3">
      <c r="A521">
        <v>3</v>
      </c>
      <c r="B521" t="s">
        <v>3519</v>
      </c>
      <c r="C521">
        <v>62</v>
      </c>
      <c r="D521" t="s">
        <v>4143</v>
      </c>
    </row>
    <row r="522" spans="1:4" x14ac:dyDescent="0.3">
      <c r="A522">
        <v>4</v>
      </c>
      <c r="B522" t="s">
        <v>3520</v>
      </c>
      <c r="C522">
        <v>68</v>
      </c>
      <c r="D522" t="s">
        <v>4144</v>
      </c>
    </row>
    <row r="523" spans="1:4" x14ac:dyDescent="0.3">
      <c r="A523">
        <v>5</v>
      </c>
      <c r="B523" t="s">
        <v>3521</v>
      </c>
      <c r="C523">
        <v>74</v>
      </c>
      <c r="D523" t="s">
        <v>3824</v>
      </c>
    </row>
    <row r="524" spans="1:4" x14ac:dyDescent="0.3">
      <c r="A524">
        <v>6</v>
      </c>
      <c r="B524" t="s">
        <v>3522</v>
      </c>
      <c r="C524">
        <v>81</v>
      </c>
      <c r="D524" t="s">
        <v>4145</v>
      </c>
    </row>
    <row r="525" spans="1:4" x14ac:dyDescent="0.3">
      <c r="A525">
        <v>7</v>
      </c>
      <c r="B525" t="s">
        <v>3523</v>
      </c>
      <c r="C525">
        <v>94</v>
      </c>
      <c r="D525" t="s">
        <v>4146</v>
      </c>
    </row>
    <row r="526" spans="1:4" x14ac:dyDescent="0.3">
      <c r="A526">
        <v>8</v>
      </c>
      <c r="B526" t="s">
        <v>3524</v>
      </c>
      <c r="C526">
        <v>102</v>
      </c>
      <c r="D526" t="s">
        <v>4147</v>
      </c>
    </row>
    <row r="527" spans="1:4" x14ac:dyDescent="0.3">
      <c r="A527">
        <v>9</v>
      </c>
      <c r="B527" t="s">
        <v>3525</v>
      </c>
      <c r="C527">
        <v>111</v>
      </c>
      <c r="D527" t="s">
        <v>4148</v>
      </c>
    </row>
    <row r="528" spans="1:4" x14ac:dyDescent="0.3">
      <c r="A528">
        <v>10</v>
      </c>
      <c r="B528" t="s">
        <v>3526</v>
      </c>
      <c r="C528">
        <v>119</v>
      </c>
      <c r="D528" t="s">
        <v>4149</v>
      </c>
    </row>
    <row r="529" spans="1:4" x14ac:dyDescent="0.3">
      <c r="A529">
        <v>11</v>
      </c>
      <c r="B529" t="s">
        <v>3527</v>
      </c>
      <c r="C529">
        <v>126</v>
      </c>
      <c r="D529" t="s">
        <v>4150</v>
      </c>
    </row>
    <row r="530" spans="1:4" x14ac:dyDescent="0.3">
      <c r="A530">
        <v>12</v>
      </c>
      <c r="B530" t="s">
        <v>3528</v>
      </c>
      <c r="C530">
        <v>134</v>
      </c>
      <c r="D530" t="s">
        <v>4151</v>
      </c>
    </row>
    <row r="531" spans="1:4" x14ac:dyDescent="0.3">
      <c r="A531">
        <v>13</v>
      </c>
      <c r="B531" t="s">
        <v>3529</v>
      </c>
      <c r="C531">
        <v>147</v>
      </c>
      <c r="D531" t="s">
        <v>4152</v>
      </c>
    </row>
    <row r="532" spans="1:4" x14ac:dyDescent="0.3">
      <c r="A532">
        <v>14</v>
      </c>
      <c r="B532" t="s">
        <v>3530</v>
      </c>
      <c r="C532">
        <v>156</v>
      </c>
      <c r="D532" t="s">
        <v>4153</v>
      </c>
    </row>
    <row r="533" spans="1:4" x14ac:dyDescent="0.3">
      <c r="A533">
        <v>15</v>
      </c>
      <c r="B533" t="s">
        <v>4154</v>
      </c>
      <c r="C533">
        <v>165</v>
      </c>
      <c r="D533" t="s">
        <v>4155</v>
      </c>
    </row>
    <row r="534" spans="1:4" x14ac:dyDescent="0.3">
      <c r="A534">
        <v>16</v>
      </c>
      <c r="B534" t="s">
        <v>3532</v>
      </c>
      <c r="C534">
        <v>179</v>
      </c>
      <c r="D534" t="s">
        <v>4156</v>
      </c>
    </row>
    <row r="535" spans="1:4" x14ac:dyDescent="0.3">
      <c r="A535">
        <v>17</v>
      </c>
      <c r="B535" t="s">
        <v>3533</v>
      </c>
      <c r="C535">
        <v>190</v>
      </c>
      <c r="D535" t="s">
        <v>4157</v>
      </c>
    </row>
    <row r="536" spans="1:4" x14ac:dyDescent="0.3">
      <c r="A536">
        <v>18</v>
      </c>
      <c r="B536" t="s">
        <v>3534</v>
      </c>
      <c r="C536">
        <v>200</v>
      </c>
      <c r="D536" t="s">
        <v>4158</v>
      </c>
    </row>
    <row r="537" spans="1:4" x14ac:dyDescent="0.3">
      <c r="A537">
        <v>19</v>
      </c>
      <c r="B537" t="s">
        <v>3535</v>
      </c>
      <c r="C537">
        <v>208</v>
      </c>
      <c r="D537" t="s">
        <v>4159</v>
      </c>
    </row>
    <row r="538" spans="1:4" x14ac:dyDescent="0.3">
      <c r="A538">
        <v>20</v>
      </c>
      <c r="B538" t="s">
        <v>3536</v>
      </c>
      <c r="C538">
        <v>216</v>
      </c>
      <c r="D538" t="s">
        <v>4160</v>
      </c>
    </row>
    <row r="539" spans="1:4" x14ac:dyDescent="0.3">
      <c r="A539">
        <v>21</v>
      </c>
      <c r="B539" t="s">
        <v>3537</v>
      </c>
      <c r="C539">
        <v>228</v>
      </c>
      <c r="D539" t="s">
        <v>4161</v>
      </c>
    </row>
    <row r="540" spans="1:4" x14ac:dyDescent="0.3">
      <c r="A540">
        <v>22</v>
      </c>
      <c r="B540" t="s">
        <v>3538</v>
      </c>
      <c r="C540">
        <v>238</v>
      </c>
      <c r="D540" t="s">
        <v>4162</v>
      </c>
    </row>
    <row r="541" spans="1:4" x14ac:dyDescent="0.3">
      <c r="A541">
        <v>23</v>
      </c>
      <c r="B541" t="s">
        <v>3539</v>
      </c>
      <c r="C541">
        <v>249</v>
      </c>
      <c r="D541" t="s">
        <v>4163</v>
      </c>
    </row>
    <row r="542" spans="1:4" x14ac:dyDescent="0.3">
      <c r="A542">
        <v>24</v>
      </c>
      <c r="B542" t="s">
        <v>3540</v>
      </c>
      <c r="C542">
        <v>259</v>
      </c>
      <c r="D542" t="s">
        <v>4164</v>
      </c>
    </row>
    <row r="545" spans="1:1" x14ac:dyDescent="0.3">
      <c r="A545" s="1" t="s">
        <v>3573</v>
      </c>
    </row>
    <row r="546" spans="1:1" x14ac:dyDescent="0.3">
      <c r="A546" s="1" t="s">
        <v>4165</v>
      </c>
    </row>
    <row r="547" spans="1:1" x14ac:dyDescent="0.3">
      <c r="A547" s="1" t="s">
        <v>3573</v>
      </c>
    </row>
    <row r="549" spans="1:1" x14ac:dyDescent="0.3">
      <c r="A549" s="1" t="s">
        <v>4166</v>
      </c>
    </row>
    <row r="550" spans="1:1" x14ac:dyDescent="0.3">
      <c r="A550" t="s">
        <v>4167</v>
      </c>
    </row>
    <row r="552" spans="1:1" x14ac:dyDescent="0.3">
      <c r="A552" s="1" t="s">
        <v>4168</v>
      </c>
    </row>
    <row r="553" spans="1:1" x14ac:dyDescent="0.3">
      <c r="A553" t="s">
        <v>4169</v>
      </c>
    </row>
    <row r="554" spans="1:1" x14ac:dyDescent="0.3">
      <c r="A554" t="s">
        <v>4170</v>
      </c>
    </row>
    <row r="555" spans="1:1" x14ac:dyDescent="0.3">
      <c r="A555" t="s">
        <v>4171</v>
      </c>
    </row>
    <row r="557" spans="1:1" x14ac:dyDescent="0.3">
      <c r="A557" s="1" t="s">
        <v>4172</v>
      </c>
    </row>
    <row r="558" spans="1:1" x14ac:dyDescent="0.3">
      <c r="A558" t="s">
        <v>4173</v>
      </c>
    </row>
    <row r="559" spans="1:1" x14ac:dyDescent="0.3">
      <c r="A559" t="s">
        <v>4174</v>
      </c>
    </row>
    <row r="560" spans="1:1" x14ac:dyDescent="0.3">
      <c r="A560" t="s">
        <v>4175</v>
      </c>
    </row>
    <row r="561" spans="1:3" x14ac:dyDescent="0.3">
      <c r="A561" s="1"/>
    </row>
    <row r="562" spans="1:3" x14ac:dyDescent="0.3">
      <c r="A562" t="s">
        <v>4176</v>
      </c>
    </row>
    <row r="563" spans="1:3" x14ac:dyDescent="0.3">
      <c r="A563" t="s">
        <v>4177</v>
      </c>
    </row>
    <row r="564" spans="1:3" x14ac:dyDescent="0.3">
      <c r="A564" t="s">
        <v>4178</v>
      </c>
    </row>
    <row r="565" spans="1:3" x14ac:dyDescent="0.3">
      <c r="A565" s="1"/>
    </row>
    <row r="566" spans="1:3" x14ac:dyDescent="0.3">
      <c r="A566" t="s">
        <v>4179</v>
      </c>
    </row>
    <row r="567" spans="1:3" x14ac:dyDescent="0.3">
      <c r="A567" s="166" t="s">
        <v>4167</v>
      </c>
      <c r="B567" s="166"/>
      <c r="C567" s="166"/>
    </row>
    <row r="569" spans="1:3" x14ac:dyDescent="0.3">
      <c r="A569" t="s">
        <v>2264</v>
      </c>
      <c r="B569" t="s">
        <v>4180</v>
      </c>
      <c r="C569" t="s">
        <v>4181</v>
      </c>
    </row>
    <row r="570" spans="1:3" x14ac:dyDescent="0.3">
      <c r="A570" t="s">
        <v>1939</v>
      </c>
      <c r="B570" t="s">
        <v>2275</v>
      </c>
      <c r="C570" t="s">
        <v>4182</v>
      </c>
    </row>
    <row r="571" spans="1:3" x14ac:dyDescent="0.3">
      <c r="A571" t="s">
        <v>3257</v>
      </c>
      <c r="B571" t="s">
        <v>2276</v>
      </c>
      <c r="C571" t="s">
        <v>4183</v>
      </c>
    </row>
    <row r="572" spans="1:3" x14ac:dyDescent="0.3">
      <c r="A572" t="s">
        <v>3260</v>
      </c>
      <c r="B572" t="s">
        <v>2277</v>
      </c>
      <c r="C572" t="s">
        <v>4183</v>
      </c>
    </row>
    <row r="574" spans="1:3" x14ac:dyDescent="0.3">
      <c r="A574" t="s">
        <v>4184</v>
      </c>
    </row>
    <row r="575" spans="1:3" x14ac:dyDescent="0.3">
      <c r="A575" s="1" t="s">
        <v>4185</v>
      </c>
    </row>
    <row r="577" spans="1:3" x14ac:dyDescent="0.3">
      <c r="A577" t="s">
        <v>4186</v>
      </c>
    </row>
    <row r="578" spans="1:3" x14ac:dyDescent="0.3">
      <c r="A578" s="1" t="s">
        <v>4167</v>
      </c>
    </row>
    <row r="579" spans="1:3" x14ac:dyDescent="0.3">
      <c r="A579" s="166"/>
      <c r="B579" s="166"/>
      <c r="C579" s="166"/>
    </row>
    <row r="580" spans="1:3" x14ac:dyDescent="0.3">
      <c r="A580" t="s">
        <v>4187</v>
      </c>
    </row>
    <row r="581" spans="1:3" x14ac:dyDescent="0.3">
      <c r="A581" t="s">
        <v>3128</v>
      </c>
      <c r="B581" t="s">
        <v>1919</v>
      </c>
      <c r="C581" t="s">
        <v>4188</v>
      </c>
    </row>
    <row r="582" spans="1:3" x14ac:dyDescent="0.3">
      <c r="A582" t="s">
        <v>4189</v>
      </c>
      <c r="B582" t="s">
        <v>4190</v>
      </c>
      <c r="C582" t="s">
        <v>4191</v>
      </c>
    </row>
    <row r="583" spans="1:3" x14ac:dyDescent="0.3">
      <c r="A583" t="s">
        <v>4192</v>
      </c>
      <c r="B583" t="s">
        <v>4193</v>
      </c>
      <c r="C583" t="s">
        <v>4194</v>
      </c>
    </row>
    <row r="584" spans="1:3" x14ac:dyDescent="0.3">
      <c r="A584" t="s">
        <v>4195</v>
      </c>
      <c r="B584" t="s">
        <v>4196</v>
      </c>
      <c r="C584" t="s">
        <v>4197</v>
      </c>
    </row>
    <row r="585" spans="1:3" x14ac:dyDescent="0.3">
      <c r="A585" t="s">
        <v>4198</v>
      </c>
      <c r="B585" t="s">
        <v>4199</v>
      </c>
      <c r="C585" t="s">
        <v>4200</v>
      </c>
    </row>
    <row r="586" spans="1:3" x14ac:dyDescent="0.3">
      <c r="A586" t="s">
        <v>4201</v>
      </c>
      <c r="B586" t="s">
        <v>4202</v>
      </c>
      <c r="C586" t="s">
        <v>4203</v>
      </c>
    </row>
    <row r="587" spans="1:3" x14ac:dyDescent="0.3">
      <c r="A587" t="s">
        <v>4204</v>
      </c>
      <c r="B587" t="s">
        <v>4205</v>
      </c>
      <c r="C587" t="s">
        <v>4206</v>
      </c>
    </row>
    <row r="588" spans="1:3" x14ac:dyDescent="0.3">
      <c r="A588" t="s">
        <v>4207</v>
      </c>
      <c r="B588" t="s">
        <v>4208</v>
      </c>
      <c r="C588" t="s">
        <v>4209</v>
      </c>
    </row>
    <row r="589" spans="1:3" x14ac:dyDescent="0.3">
      <c r="A589" t="s">
        <v>4210</v>
      </c>
      <c r="B589" t="s">
        <v>4211</v>
      </c>
      <c r="C589" t="s">
        <v>4212</v>
      </c>
    </row>
    <row r="590" spans="1:3" x14ac:dyDescent="0.3">
      <c r="A590" t="s">
        <v>4213</v>
      </c>
      <c r="B590" t="s">
        <v>4214</v>
      </c>
      <c r="C590" t="s">
        <v>4215</v>
      </c>
    </row>
    <row r="591" spans="1:3" x14ac:dyDescent="0.3">
      <c r="A591" s="1"/>
    </row>
    <row r="592" spans="1:3" x14ac:dyDescent="0.3">
      <c r="A592" t="s">
        <v>4216</v>
      </c>
    </row>
    <row r="593" spans="1:4" x14ac:dyDescent="0.3">
      <c r="A593" t="s">
        <v>4217</v>
      </c>
    </row>
    <row r="594" spans="1:4" x14ac:dyDescent="0.3">
      <c r="A594" s="1" t="s">
        <v>4218</v>
      </c>
    </row>
    <row r="596" spans="1:4" x14ac:dyDescent="0.3">
      <c r="A596" t="s">
        <v>4219</v>
      </c>
    </row>
    <row r="597" spans="1:4" x14ac:dyDescent="0.3">
      <c r="A597" s="1" t="s">
        <v>4167</v>
      </c>
    </row>
    <row r="599" spans="1:4" x14ac:dyDescent="0.3">
      <c r="A599" t="s">
        <v>4220</v>
      </c>
    </row>
    <row r="600" spans="1:4" x14ac:dyDescent="0.3">
      <c r="A600" t="s">
        <v>4221</v>
      </c>
    </row>
    <row r="601" spans="1:4" x14ac:dyDescent="0.3">
      <c r="A601" s="1"/>
    </row>
    <row r="602" spans="1:4" x14ac:dyDescent="0.3">
      <c r="A602" t="s">
        <v>4222</v>
      </c>
    </row>
    <row r="603" spans="1:4" x14ac:dyDescent="0.3">
      <c r="A603" s="1" t="s">
        <v>4223</v>
      </c>
    </row>
    <row r="604" spans="1:4" x14ac:dyDescent="0.3">
      <c r="A604" s="166" t="s">
        <v>4224</v>
      </c>
      <c r="B604" s="166"/>
      <c r="C604" s="166"/>
      <c r="D604" s="166"/>
    </row>
    <row r="605" spans="1:4" x14ac:dyDescent="0.3">
      <c r="A605" t="s">
        <v>4225</v>
      </c>
    </row>
    <row r="607" spans="1:4" x14ac:dyDescent="0.3">
      <c r="A607" t="s">
        <v>4226</v>
      </c>
    </row>
    <row r="608" spans="1:4" x14ac:dyDescent="0.3">
      <c r="A608" t="s">
        <v>4227</v>
      </c>
      <c r="B608" t="s">
        <v>4228</v>
      </c>
      <c r="C608" t="s">
        <v>3050</v>
      </c>
      <c r="D608" t="s">
        <v>4229</v>
      </c>
    </row>
    <row r="609" spans="1:4" x14ac:dyDescent="0.3">
      <c r="A609" s="69">
        <v>46027</v>
      </c>
      <c r="B609" t="s">
        <v>4230</v>
      </c>
      <c r="C609" t="s">
        <v>118</v>
      </c>
      <c r="D609" t="s">
        <v>4231</v>
      </c>
    </row>
    <row r="610" spans="1:4" x14ac:dyDescent="0.3">
      <c r="A610" s="69">
        <v>46184</v>
      </c>
      <c r="B610" t="s">
        <v>4232</v>
      </c>
      <c r="C610" t="s">
        <v>127</v>
      </c>
      <c r="D610" t="s">
        <v>4233</v>
      </c>
    </row>
    <row r="611" spans="1:4" x14ac:dyDescent="0.3">
      <c r="A611" s="69">
        <v>46375</v>
      </c>
      <c r="B611" t="s">
        <v>4234</v>
      </c>
      <c r="C611" t="s">
        <v>128</v>
      </c>
      <c r="D611" t="s">
        <v>4235</v>
      </c>
    </row>
    <row r="612" spans="1:4" x14ac:dyDescent="0.3">
      <c r="A612" t="s">
        <v>2537</v>
      </c>
      <c r="B612" t="s">
        <v>4236</v>
      </c>
      <c r="C612" t="s">
        <v>2171</v>
      </c>
      <c r="D612" t="s">
        <v>4237</v>
      </c>
    </row>
    <row r="615" spans="1:4" x14ac:dyDescent="0.3">
      <c r="A615" s="1" t="s">
        <v>3573</v>
      </c>
    </row>
    <row r="616" spans="1:4" x14ac:dyDescent="0.3">
      <c r="A616" s="1" t="s">
        <v>4238</v>
      </c>
    </row>
    <row r="617" spans="1:4" x14ac:dyDescent="0.3">
      <c r="A617" s="1" t="s">
        <v>3573</v>
      </c>
    </row>
    <row r="619" spans="1:4" x14ac:dyDescent="0.3">
      <c r="A619" t="s">
        <v>4239</v>
      </c>
    </row>
    <row r="621" spans="1:4" x14ac:dyDescent="0.3">
      <c r="A621" s="1" t="s">
        <v>4240</v>
      </c>
    </row>
    <row r="622" spans="1:4" x14ac:dyDescent="0.3">
      <c r="A622" t="s">
        <v>4167</v>
      </c>
    </row>
    <row r="624" spans="1:4" x14ac:dyDescent="0.3">
      <c r="A624" s="67" t="s">
        <v>4241</v>
      </c>
      <c r="B624" s="67" t="s">
        <v>4242</v>
      </c>
      <c r="C624" s="67" t="s">
        <v>4243</v>
      </c>
      <c r="D624" s="67" t="s">
        <v>4244</v>
      </c>
    </row>
    <row r="625" spans="1:4" x14ac:dyDescent="0.3">
      <c r="A625" t="s">
        <v>4245</v>
      </c>
      <c r="B625" t="s">
        <v>3546</v>
      </c>
      <c r="C625" t="s">
        <v>4246</v>
      </c>
      <c r="D625" t="s">
        <v>4247</v>
      </c>
    </row>
    <row r="626" spans="1:4" x14ac:dyDescent="0.3">
      <c r="A626" t="s">
        <v>4248</v>
      </c>
      <c r="B626" t="s">
        <v>4249</v>
      </c>
      <c r="C626" t="s">
        <v>4250</v>
      </c>
      <c r="D626" t="s">
        <v>1057</v>
      </c>
    </row>
    <row r="627" spans="1:4" x14ac:dyDescent="0.3">
      <c r="A627" t="s">
        <v>4251</v>
      </c>
      <c r="B627" t="s">
        <v>4252</v>
      </c>
      <c r="C627" t="s">
        <v>4253</v>
      </c>
      <c r="D627" t="s">
        <v>1057</v>
      </c>
    </row>
    <row r="628" spans="1:4" x14ac:dyDescent="0.3">
      <c r="A628" t="s">
        <v>4254</v>
      </c>
      <c r="B628" t="s">
        <v>4255</v>
      </c>
      <c r="C628" t="s">
        <v>4256</v>
      </c>
      <c r="D628" t="s">
        <v>4257</v>
      </c>
    </row>
    <row r="629" spans="1:4" x14ac:dyDescent="0.3">
      <c r="A629" t="s">
        <v>4258</v>
      </c>
      <c r="B629" t="s">
        <v>4259</v>
      </c>
      <c r="C629" t="s">
        <v>4260</v>
      </c>
      <c r="D629" t="s">
        <v>4261</v>
      </c>
    </row>
    <row r="630" spans="1:4" x14ac:dyDescent="0.3">
      <c r="A630" t="s">
        <v>4262</v>
      </c>
      <c r="B630" t="s">
        <v>4263</v>
      </c>
      <c r="C630" t="s">
        <v>4264</v>
      </c>
      <c r="D630" t="s">
        <v>4265</v>
      </c>
    </row>
    <row r="632" spans="1:4" x14ac:dyDescent="0.3">
      <c r="A632" s="1" t="s">
        <v>4266</v>
      </c>
    </row>
    <row r="633" spans="1:4" x14ac:dyDescent="0.3">
      <c r="A633" t="s">
        <v>4167</v>
      </c>
    </row>
    <row r="635" spans="1:4" x14ac:dyDescent="0.3">
      <c r="A635" s="67" t="s">
        <v>4241</v>
      </c>
      <c r="B635" s="67" t="s">
        <v>4242</v>
      </c>
      <c r="C635" s="67" t="s">
        <v>4243</v>
      </c>
      <c r="D635" s="67" t="s">
        <v>4244</v>
      </c>
    </row>
    <row r="636" spans="1:4" x14ac:dyDescent="0.3">
      <c r="A636" t="s">
        <v>4267</v>
      </c>
      <c r="B636" t="s">
        <v>4268</v>
      </c>
      <c r="C636" t="s">
        <v>4269</v>
      </c>
      <c r="D636" t="s">
        <v>4270</v>
      </c>
    </row>
    <row r="637" spans="1:4" x14ac:dyDescent="0.3">
      <c r="A637" t="s">
        <v>4271</v>
      </c>
      <c r="B637" t="s">
        <v>4272</v>
      </c>
      <c r="C637" t="s">
        <v>4273</v>
      </c>
      <c r="D637" t="s">
        <v>4274</v>
      </c>
    </row>
    <row r="638" spans="1:4" x14ac:dyDescent="0.3">
      <c r="A638" t="s">
        <v>4275</v>
      </c>
      <c r="B638" t="s">
        <v>4276</v>
      </c>
      <c r="C638" t="s">
        <v>4277</v>
      </c>
      <c r="D638" t="s">
        <v>1057</v>
      </c>
    </row>
    <row r="640" spans="1:4" x14ac:dyDescent="0.3">
      <c r="A640" s="1" t="s">
        <v>4278</v>
      </c>
    </row>
    <row r="641" spans="1:4" x14ac:dyDescent="0.3">
      <c r="A641" t="s">
        <v>4167</v>
      </c>
    </row>
    <row r="643" spans="1:4" x14ac:dyDescent="0.3">
      <c r="A643" s="67" t="s">
        <v>4241</v>
      </c>
      <c r="B643" s="67" t="s">
        <v>4242</v>
      </c>
      <c r="C643" s="67" t="s">
        <v>4243</v>
      </c>
      <c r="D643" s="67" t="s">
        <v>4244</v>
      </c>
    </row>
    <row r="644" spans="1:4" x14ac:dyDescent="0.3">
      <c r="A644" t="s">
        <v>4279</v>
      </c>
      <c r="B644" t="s">
        <v>3544</v>
      </c>
      <c r="C644" t="s">
        <v>4280</v>
      </c>
      <c r="D644" t="s">
        <v>4257</v>
      </c>
    </row>
    <row r="645" spans="1:4" x14ac:dyDescent="0.3">
      <c r="A645" t="s">
        <v>4281</v>
      </c>
      <c r="B645" t="s">
        <v>4282</v>
      </c>
      <c r="C645" t="s">
        <v>4283</v>
      </c>
      <c r="D645" t="s">
        <v>945</v>
      </c>
    </row>
    <row r="646" spans="1:4" x14ac:dyDescent="0.3">
      <c r="A646" t="s">
        <v>4284</v>
      </c>
      <c r="B646" t="s">
        <v>4285</v>
      </c>
      <c r="C646" t="s">
        <v>4286</v>
      </c>
      <c r="D646" t="s">
        <v>4287</v>
      </c>
    </row>
    <row r="647" spans="1:4" x14ac:dyDescent="0.3">
      <c r="A647" t="s">
        <v>4288</v>
      </c>
      <c r="B647" t="s">
        <v>4289</v>
      </c>
      <c r="C647" t="s">
        <v>4290</v>
      </c>
      <c r="D647" t="s">
        <v>3226</v>
      </c>
    </row>
    <row r="648" spans="1:4" x14ac:dyDescent="0.3">
      <c r="A648" t="s">
        <v>4291</v>
      </c>
      <c r="B648" t="s">
        <v>3551</v>
      </c>
      <c r="C648" t="s">
        <v>4292</v>
      </c>
      <c r="D648" t="s">
        <v>4293</v>
      </c>
    </row>
    <row r="649" spans="1:4" x14ac:dyDescent="0.3">
      <c r="A649" t="s">
        <v>4294</v>
      </c>
      <c r="B649" t="s">
        <v>4295</v>
      </c>
      <c r="C649" t="s">
        <v>4296</v>
      </c>
      <c r="D649" t="s">
        <v>945</v>
      </c>
    </row>
    <row r="651" spans="1:4" x14ac:dyDescent="0.3">
      <c r="A651" t="s">
        <v>4297</v>
      </c>
    </row>
    <row r="652" spans="1:4" x14ac:dyDescent="0.3">
      <c r="A652" s="1" t="s">
        <v>4167</v>
      </c>
    </row>
    <row r="654" spans="1:4" x14ac:dyDescent="0.3">
      <c r="A654" t="s">
        <v>4241</v>
      </c>
      <c r="B654" t="s">
        <v>4242</v>
      </c>
      <c r="C654" t="s">
        <v>4243</v>
      </c>
      <c r="D654" t="s">
        <v>4244</v>
      </c>
    </row>
    <row r="655" spans="1:4" x14ac:dyDescent="0.3">
      <c r="A655" s="67" t="s">
        <v>4298</v>
      </c>
      <c r="B655" s="67" t="s">
        <v>4299</v>
      </c>
      <c r="C655" s="67" t="s">
        <v>4300</v>
      </c>
      <c r="D655" s="67" t="s">
        <v>4301</v>
      </c>
    </row>
    <row r="656" spans="1:4" x14ac:dyDescent="0.3">
      <c r="A656" t="s">
        <v>4302</v>
      </c>
      <c r="B656" t="s">
        <v>4303</v>
      </c>
      <c r="C656" t="s">
        <v>4304</v>
      </c>
      <c r="D656" t="s">
        <v>4305</v>
      </c>
    </row>
    <row r="657" spans="1:4" x14ac:dyDescent="0.3">
      <c r="A657" t="s">
        <v>4306</v>
      </c>
      <c r="B657" t="s">
        <v>4307</v>
      </c>
      <c r="C657" t="s">
        <v>4308</v>
      </c>
      <c r="D657" t="s">
        <v>1057</v>
      </c>
    </row>
    <row r="658" spans="1:4" x14ac:dyDescent="0.3">
      <c r="A658" t="s">
        <v>4309</v>
      </c>
      <c r="B658" t="s">
        <v>4310</v>
      </c>
      <c r="C658" t="s">
        <v>4311</v>
      </c>
      <c r="D658" t="s">
        <v>1057</v>
      </c>
    </row>
    <row r="659" spans="1:4" x14ac:dyDescent="0.3">
      <c r="A659" t="s">
        <v>4312</v>
      </c>
      <c r="B659" t="s">
        <v>4313</v>
      </c>
      <c r="C659" t="s">
        <v>4314</v>
      </c>
      <c r="D659" t="s">
        <v>1057</v>
      </c>
    </row>
    <row r="661" spans="1:4" x14ac:dyDescent="0.3">
      <c r="A661" t="s">
        <v>4315</v>
      </c>
    </row>
    <row r="662" spans="1:4" x14ac:dyDescent="0.3">
      <c r="A662" t="s">
        <v>4167</v>
      </c>
    </row>
    <row r="663" spans="1:4" x14ac:dyDescent="0.3">
      <c r="A663" s="1"/>
    </row>
    <row r="664" spans="1:4" x14ac:dyDescent="0.3">
      <c r="A664" t="s">
        <v>4241</v>
      </c>
      <c r="B664" t="s">
        <v>4242</v>
      </c>
      <c r="C664" t="s">
        <v>4243</v>
      </c>
      <c r="D664" t="s">
        <v>4244</v>
      </c>
    </row>
    <row r="665" spans="1:4" x14ac:dyDescent="0.3">
      <c r="A665" t="s">
        <v>4316</v>
      </c>
      <c r="B665" t="s">
        <v>4317</v>
      </c>
      <c r="C665" t="s">
        <v>4318</v>
      </c>
      <c r="D665" t="s">
        <v>4319</v>
      </c>
    </row>
    <row r="666" spans="1:4" x14ac:dyDescent="0.3">
      <c r="A666" s="67" t="s">
        <v>4320</v>
      </c>
      <c r="B666" s="67" t="s">
        <v>4321</v>
      </c>
      <c r="C666" s="67" t="s">
        <v>4322</v>
      </c>
      <c r="D666" s="67" t="s">
        <v>4257</v>
      </c>
    </row>
    <row r="667" spans="1:4" x14ac:dyDescent="0.3">
      <c r="A667" t="s">
        <v>4323</v>
      </c>
      <c r="B667" t="s">
        <v>4324</v>
      </c>
      <c r="C667" t="s">
        <v>4325</v>
      </c>
      <c r="D667" t="s">
        <v>4274</v>
      </c>
    </row>
    <row r="668" spans="1:4" x14ac:dyDescent="0.3">
      <c r="A668" t="s">
        <v>4326</v>
      </c>
      <c r="B668" t="s">
        <v>4327</v>
      </c>
      <c r="C668" t="s">
        <v>4328</v>
      </c>
      <c r="D668" t="s">
        <v>4261</v>
      </c>
    </row>
    <row r="670" spans="1:4" x14ac:dyDescent="0.3">
      <c r="A670" s="1" t="s">
        <v>3573</v>
      </c>
    </row>
    <row r="671" spans="1:4" x14ac:dyDescent="0.3">
      <c r="A671" s="1" t="s">
        <v>4329</v>
      </c>
    </row>
    <row r="672" spans="1:4" x14ac:dyDescent="0.3">
      <c r="A672" s="1" t="s">
        <v>3573</v>
      </c>
    </row>
    <row r="674" spans="1:1" x14ac:dyDescent="0.3">
      <c r="A674" t="s">
        <v>4330</v>
      </c>
    </row>
    <row r="675" spans="1:1" x14ac:dyDescent="0.3">
      <c r="A675" t="s">
        <v>4331</v>
      </c>
    </row>
    <row r="677" spans="1:1" x14ac:dyDescent="0.3">
      <c r="A677" s="1" t="s">
        <v>4332</v>
      </c>
    </row>
    <row r="678" spans="1:1" x14ac:dyDescent="0.3">
      <c r="A678" t="s">
        <v>4167</v>
      </c>
    </row>
    <row r="679" spans="1:1" x14ac:dyDescent="0.3">
      <c r="A679" t="s">
        <v>4333</v>
      </c>
    </row>
    <row r="680" spans="1:1" x14ac:dyDescent="0.3">
      <c r="A680" t="s">
        <v>4334</v>
      </c>
    </row>
    <row r="681" spans="1:1" x14ac:dyDescent="0.3">
      <c r="A681" t="s">
        <v>4335</v>
      </c>
    </row>
    <row r="682" spans="1:1" x14ac:dyDescent="0.3">
      <c r="A682" t="s">
        <v>4336</v>
      </c>
    </row>
    <row r="684" spans="1:1" x14ac:dyDescent="0.3">
      <c r="A684" t="s">
        <v>4337</v>
      </c>
    </row>
    <row r="685" spans="1:1" x14ac:dyDescent="0.3">
      <c r="A685" s="1" t="s">
        <v>4167</v>
      </c>
    </row>
    <row r="686" spans="1:1" x14ac:dyDescent="0.3">
      <c r="A686" t="s">
        <v>4338</v>
      </c>
    </row>
    <row r="687" spans="1:1" x14ac:dyDescent="0.3">
      <c r="A687" t="s">
        <v>4339</v>
      </c>
    </row>
    <row r="688" spans="1:1" x14ac:dyDescent="0.3">
      <c r="A688" t="s">
        <v>4340</v>
      </c>
    </row>
    <row r="689" spans="1:1" x14ac:dyDescent="0.3">
      <c r="A689" t="s">
        <v>4341</v>
      </c>
    </row>
    <row r="691" spans="1:1" x14ac:dyDescent="0.3">
      <c r="A691" t="s">
        <v>4342</v>
      </c>
    </row>
    <row r="692" spans="1:1" x14ac:dyDescent="0.3">
      <c r="A692" s="1" t="s">
        <v>4167</v>
      </c>
    </row>
    <row r="693" spans="1:1" x14ac:dyDescent="0.3">
      <c r="A693" t="s">
        <v>4343</v>
      </c>
    </row>
    <row r="694" spans="1:1" x14ac:dyDescent="0.3">
      <c r="A694" t="s">
        <v>4344</v>
      </c>
    </row>
    <row r="695" spans="1:1" x14ac:dyDescent="0.3">
      <c r="A695" t="s">
        <v>4345</v>
      </c>
    </row>
    <row r="696" spans="1:1" x14ac:dyDescent="0.3">
      <c r="A696" t="s">
        <v>4346</v>
      </c>
    </row>
    <row r="698" spans="1:1" x14ac:dyDescent="0.3">
      <c r="A698" t="s">
        <v>4347</v>
      </c>
    </row>
    <row r="699" spans="1:1" x14ac:dyDescent="0.3">
      <c r="A699" s="1" t="s">
        <v>4167</v>
      </c>
    </row>
    <row r="700" spans="1:1" x14ac:dyDescent="0.3">
      <c r="A700" t="s">
        <v>4348</v>
      </c>
    </row>
    <row r="701" spans="1:1" x14ac:dyDescent="0.3">
      <c r="A701" t="s">
        <v>4349</v>
      </c>
    </row>
    <row r="702" spans="1:1" x14ac:dyDescent="0.3">
      <c r="A702" t="s">
        <v>4350</v>
      </c>
    </row>
    <row r="703" spans="1:1" x14ac:dyDescent="0.3">
      <c r="A703" t="s">
        <v>4351</v>
      </c>
    </row>
    <row r="705" spans="1:1" x14ac:dyDescent="0.3">
      <c r="A705" t="s">
        <v>4352</v>
      </c>
    </row>
    <row r="706" spans="1:1" x14ac:dyDescent="0.3">
      <c r="A706" s="1" t="s">
        <v>4167</v>
      </c>
    </row>
    <row r="707" spans="1:1" x14ac:dyDescent="0.3">
      <c r="A707" t="s">
        <v>4353</v>
      </c>
    </row>
    <row r="708" spans="1:1" x14ac:dyDescent="0.3">
      <c r="A708" t="s">
        <v>4354</v>
      </c>
    </row>
    <row r="709" spans="1:1" x14ac:dyDescent="0.3">
      <c r="A709" t="s">
        <v>4355</v>
      </c>
    </row>
    <row r="710" spans="1:1" x14ac:dyDescent="0.3">
      <c r="A710" t="s">
        <v>4356</v>
      </c>
    </row>
    <row r="712" spans="1:1" x14ac:dyDescent="0.3">
      <c r="A712" t="s">
        <v>4357</v>
      </c>
    </row>
    <row r="713" spans="1:1" x14ac:dyDescent="0.3">
      <c r="A713" s="1" t="s">
        <v>4167</v>
      </c>
    </row>
    <row r="714" spans="1:1" x14ac:dyDescent="0.3">
      <c r="A714" t="s">
        <v>4358</v>
      </c>
    </row>
    <row r="715" spans="1:1" x14ac:dyDescent="0.3">
      <c r="A715" t="s">
        <v>4359</v>
      </c>
    </row>
    <row r="716" spans="1:1" x14ac:dyDescent="0.3">
      <c r="A716" t="s">
        <v>4360</v>
      </c>
    </row>
    <row r="717" spans="1:1" x14ac:dyDescent="0.3">
      <c r="A717" t="s">
        <v>4361</v>
      </c>
    </row>
    <row r="719" spans="1:1" x14ac:dyDescent="0.3">
      <c r="A719" t="s">
        <v>4362</v>
      </c>
    </row>
    <row r="720" spans="1:1" x14ac:dyDescent="0.3">
      <c r="A720" s="1" t="s">
        <v>4167</v>
      </c>
    </row>
    <row r="721" spans="1:1" x14ac:dyDescent="0.3">
      <c r="A721" t="s">
        <v>4363</v>
      </c>
    </row>
    <row r="722" spans="1:1" x14ac:dyDescent="0.3">
      <c r="A722" t="s">
        <v>4364</v>
      </c>
    </row>
    <row r="723" spans="1:1" x14ac:dyDescent="0.3">
      <c r="A723" t="s">
        <v>4365</v>
      </c>
    </row>
    <row r="724" spans="1:1" x14ac:dyDescent="0.3">
      <c r="A724" t="s">
        <v>4366</v>
      </c>
    </row>
    <row r="726" spans="1:1" x14ac:dyDescent="0.3">
      <c r="A726" t="s">
        <v>4367</v>
      </c>
    </row>
    <row r="727" spans="1:1" x14ac:dyDescent="0.3">
      <c r="A727" s="1" t="s">
        <v>4167</v>
      </c>
    </row>
    <row r="728" spans="1:1" x14ac:dyDescent="0.3">
      <c r="A728" t="s">
        <v>4368</v>
      </c>
    </row>
    <row r="729" spans="1:1" x14ac:dyDescent="0.3">
      <c r="A729" t="s">
        <v>4369</v>
      </c>
    </row>
    <row r="730" spans="1:1" x14ac:dyDescent="0.3">
      <c r="A730" t="s">
        <v>4370</v>
      </c>
    </row>
    <row r="732" spans="1:1" x14ac:dyDescent="0.3">
      <c r="A732" t="s">
        <v>4371</v>
      </c>
    </row>
    <row r="733" spans="1:1" x14ac:dyDescent="0.3">
      <c r="A733" s="1" t="s">
        <v>4167</v>
      </c>
    </row>
    <row r="734" spans="1:1" x14ac:dyDescent="0.3">
      <c r="A734" t="s">
        <v>4372</v>
      </c>
    </row>
    <row r="735" spans="1:1" x14ac:dyDescent="0.3">
      <c r="A735" t="s">
        <v>4373</v>
      </c>
    </row>
    <row r="736" spans="1:1" x14ac:dyDescent="0.3">
      <c r="A736" t="s">
        <v>4374</v>
      </c>
    </row>
    <row r="738" spans="1:1" x14ac:dyDescent="0.3">
      <c r="A738" t="s">
        <v>4375</v>
      </c>
    </row>
    <row r="739" spans="1:1" x14ac:dyDescent="0.3">
      <c r="A739" s="1" t="s">
        <v>4167</v>
      </c>
    </row>
    <row r="740" spans="1:1" x14ac:dyDescent="0.3">
      <c r="A740" t="s">
        <v>4376</v>
      </c>
    </row>
    <row r="741" spans="1:1" x14ac:dyDescent="0.3">
      <c r="A741" t="s">
        <v>4377</v>
      </c>
    </row>
    <row r="742" spans="1:1" x14ac:dyDescent="0.3">
      <c r="A742" t="s">
        <v>4378</v>
      </c>
    </row>
    <row r="745" spans="1:1" x14ac:dyDescent="0.3">
      <c r="A745" s="1" t="s">
        <v>3573</v>
      </c>
    </row>
    <row r="746" spans="1:1" x14ac:dyDescent="0.3">
      <c r="A746" s="1" t="s">
        <v>4379</v>
      </c>
    </row>
    <row r="747" spans="1:1" x14ac:dyDescent="0.3">
      <c r="A747" s="1" t="s">
        <v>3573</v>
      </c>
    </row>
    <row r="749" spans="1:1" x14ac:dyDescent="0.3">
      <c r="A749" t="s">
        <v>4380</v>
      </c>
    </row>
    <row r="751" spans="1:1" x14ac:dyDescent="0.3">
      <c r="A751" s="1" t="s">
        <v>4381</v>
      </c>
    </row>
    <row r="752" spans="1:1" x14ac:dyDescent="0.3">
      <c r="A752" t="s">
        <v>4167</v>
      </c>
    </row>
    <row r="754" spans="1:4" x14ac:dyDescent="0.3">
      <c r="A754" s="131" t="s">
        <v>4181</v>
      </c>
      <c r="B754" s="131" t="s">
        <v>3542</v>
      </c>
      <c r="C754" s="131" t="s">
        <v>3470</v>
      </c>
      <c r="D754" s="131" t="s">
        <v>4382</v>
      </c>
    </row>
    <row r="755" spans="1:4" x14ac:dyDescent="0.3">
      <c r="A755" t="s">
        <v>4383</v>
      </c>
      <c r="B755" t="s">
        <v>4384</v>
      </c>
      <c r="C755" t="s">
        <v>4385</v>
      </c>
      <c r="D755" t="s">
        <v>4386</v>
      </c>
    </row>
    <row r="756" spans="1:4" x14ac:dyDescent="0.3">
      <c r="A756" t="s">
        <v>4387</v>
      </c>
      <c r="B756" t="s">
        <v>4388</v>
      </c>
      <c r="C756" t="s">
        <v>4389</v>
      </c>
      <c r="D756" t="s">
        <v>4390</v>
      </c>
    </row>
    <row r="757" spans="1:4" x14ac:dyDescent="0.3">
      <c r="A757" t="s">
        <v>4391</v>
      </c>
      <c r="B757" t="s">
        <v>4392</v>
      </c>
      <c r="C757" t="s">
        <v>4393</v>
      </c>
      <c r="D757" t="s">
        <v>4394</v>
      </c>
    </row>
    <row r="758" spans="1:4" x14ac:dyDescent="0.3">
      <c r="A758" t="s">
        <v>4395</v>
      </c>
      <c r="B758" t="s">
        <v>4396</v>
      </c>
      <c r="C758" t="s">
        <v>4397</v>
      </c>
      <c r="D758" t="s">
        <v>4398</v>
      </c>
    </row>
    <row r="759" spans="1:4" x14ac:dyDescent="0.3">
      <c r="A759" t="s">
        <v>4399</v>
      </c>
      <c r="B759" t="s">
        <v>4400</v>
      </c>
      <c r="C759" t="s">
        <v>4397</v>
      </c>
      <c r="D759" t="s">
        <v>4398</v>
      </c>
    </row>
    <row r="760" spans="1:4" x14ac:dyDescent="0.3">
      <c r="A760" t="s">
        <v>4401</v>
      </c>
      <c r="B760" t="s">
        <v>4402</v>
      </c>
      <c r="C760" t="s">
        <v>4397</v>
      </c>
      <c r="D760" t="s">
        <v>4398</v>
      </c>
    </row>
    <row r="761" spans="1:4" x14ac:dyDescent="0.3">
      <c r="A761" t="s">
        <v>4403</v>
      </c>
      <c r="B761" t="s">
        <v>4404</v>
      </c>
      <c r="C761" t="s">
        <v>4397</v>
      </c>
      <c r="D761" t="s">
        <v>4405</v>
      </c>
    </row>
    <row r="762" spans="1:4" x14ac:dyDescent="0.3">
      <c r="A762" t="s">
        <v>4406</v>
      </c>
      <c r="B762" t="s">
        <v>4407</v>
      </c>
      <c r="C762" t="s">
        <v>4397</v>
      </c>
      <c r="D762" t="s">
        <v>4398</v>
      </c>
    </row>
    <row r="763" spans="1:4" x14ac:dyDescent="0.3">
      <c r="A763" t="s">
        <v>4408</v>
      </c>
      <c r="B763" t="s">
        <v>4409</v>
      </c>
      <c r="C763" t="s">
        <v>4393</v>
      </c>
      <c r="D763" t="s">
        <v>4394</v>
      </c>
    </row>
    <row r="765" spans="1:4" x14ac:dyDescent="0.3">
      <c r="A765" s="1" t="s">
        <v>4410</v>
      </c>
    </row>
    <row r="766" spans="1:4" x14ac:dyDescent="0.3">
      <c r="A766" t="s">
        <v>4167</v>
      </c>
    </row>
    <row r="768" spans="1:4" x14ac:dyDescent="0.3">
      <c r="A768" s="131" t="s">
        <v>4181</v>
      </c>
      <c r="B768" s="131" t="s">
        <v>4411</v>
      </c>
      <c r="C768" s="131" t="s">
        <v>4412</v>
      </c>
      <c r="D768" s="131" t="s">
        <v>4382</v>
      </c>
    </row>
    <row r="769" spans="1:4" x14ac:dyDescent="0.3">
      <c r="A769" t="s">
        <v>4413</v>
      </c>
      <c r="B769" t="s">
        <v>4414</v>
      </c>
      <c r="C769" t="s">
        <v>4415</v>
      </c>
      <c r="D769" t="s">
        <v>4416</v>
      </c>
    </row>
    <row r="770" spans="1:4" x14ac:dyDescent="0.3">
      <c r="A770" t="s">
        <v>4417</v>
      </c>
      <c r="B770" t="s">
        <v>4418</v>
      </c>
      <c r="C770" t="s">
        <v>4419</v>
      </c>
      <c r="D770" t="s">
        <v>4420</v>
      </c>
    </row>
    <row r="771" spans="1:4" x14ac:dyDescent="0.3">
      <c r="A771" t="s">
        <v>4421</v>
      </c>
      <c r="B771" t="s">
        <v>4422</v>
      </c>
      <c r="C771" t="s">
        <v>4423</v>
      </c>
      <c r="D771" t="s">
        <v>4424</v>
      </c>
    </row>
    <row r="772" spans="1:4" x14ac:dyDescent="0.3">
      <c r="A772" t="s">
        <v>4425</v>
      </c>
      <c r="B772" t="s">
        <v>4426</v>
      </c>
      <c r="C772" t="s">
        <v>4427</v>
      </c>
      <c r="D772" t="s">
        <v>4428</v>
      </c>
    </row>
    <row r="774" spans="1:4" x14ac:dyDescent="0.3">
      <c r="A774" s="1" t="s">
        <v>4429</v>
      </c>
    </row>
    <row r="775" spans="1:4" x14ac:dyDescent="0.3">
      <c r="A775" t="s">
        <v>4167</v>
      </c>
    </row>
    <row r="777" spans="1:4" x14ac:dyDescent="0.3">
      <c r="A777" s="131" t="s">
        <v>4181</v>
      </c>
      <c r="B777" s="131" t="s">
        <v>4430</v>
      </c>
      <c r="C777" s="131" t="s">
        <v>2747</v>
      </c>
    </row>
    <row r="778" spans="1:4" x14ac:dyDescent="0.3">
      <c r="A778" t="s">
        <v>4431</v>
      </c>
      <c r="B778" t="s">
        <v>4432</v>
      </c>
      <c r="C778" t="s">
        <v>4433</v>
      </c>
    </row>
    <row r="779" spans="1:4" x14ac:dyDescent="0.3">
      <c r="A779" t="s">
        <v>4434</v>
      </c>
      <c r="B779" t="s">
        <v>4435</v>
      </c>
      <c r="C779" t="s">
        <v>4436</v>
      </c>
    </row>
    <row r="780" spans="1:4" x14ac:dyDescent="0.3">
      <c r="A780" t="s">
        <v>4437</v>
      </c>
      <c r="B780" t="s">
        <v>4438</v>
      </c>
      <c r="C780" t="s">
        <v>4439</v>
      </c>
    </row>
    <row r="781" spans="1:4" x14ac:dyDescent="0.3">
      <c r="A781" t="s">
        <v>4440</v>
      </c>
      <c r="B781" t="s">
        <v>4441</v>
      </c>
      <c r="C781" t="s">
        <v>4442</v>
      </c>
    </row>
    <row r="782" spans="1:4" x14ac:dyDescent="0.3">
      <c r="A782" t="s">
        <v>4443</v>
      </c>
      <c r="B782" t="s">
        <v>4444</v>
      </c>
      <c r="C782" t="s">
        <v>4445</v>
      </c>
    </row>
    <row r="784" spans="1:4" x14ac:dyDescent="0.3">
      <c r="A784" s="1" t="s">
        <v>3573</v>
      </c>
    </row>
    <row r="785" spans="1:2" x14ac:dyDescent="0.3">
      <c r="A785" s="1" t="s">
        <v>4446</v>
      </c>
    </row>
    <row r="786" spans="1:2" x14ac:dyDescent="0.3">
      <c r="A786" s="1" t="s">
        <v>3573</v>
      </c>
    </row>
    <row r="788" spans="1:2" x14ac:dyDescent="0.3">
      <c r="A788" s="67" t="s">
        <v>4411</v>
      </c>
      <c r="B788" s="67" t="s">
        <v>1800</v>
      </c>
    </row>
    <row r="789" spans="1:2" x14ac:dyDescent="0.3">
      <c r="A789" t="s">
        <v>4447</v>
      </c>
      <c r="B789" t="s">
        <v>4448</v>
      </c>
    </row>
    <row r="790" spans="1:2" x14ac:dyDescent="0.3">
      <c r="A790" t="s">
        <v>1236</v>
      </c>
      <c r="B790">
        <v>2</v>
      </c>
    </row>
    <row r="791" spans="1:2" x14ac:dyDescent="0.3">
      <c r="A791" t="s">
        <v>4449</v>
      </c>
      <c r="B791" s="168">
        <v>46198</v>
      </c>
    </row>
    <row r="792" spans="1:2" x14ac:dyDescent="0.3">
      <c r="A792" t="s">
        <v>2271</v>
      </c>
      <c r="B792" t="s">
        <v>4450</v>
      </c>
    </row>
    <row r="793" spans="1:2" x14ac:dyDescent="0.3">
      <c r="A793" t="s">
        <v>4451</v>
      </c>
      <c r="B793" t="s">
        <v>4452</v>
      </c>
    </row>
    <row r="794" spans="1:2" x14ac:dyDescent="0.3">
      <c r="A794" t="s">
        <v>4453</v>
      </c>
      <c r="B794">
        <v>17</v>
      </c>
    </row>
    <row r="795" spans="1:2" x14ac:dyDescent="0.3">
      <c r="A795" t="s">
        <v>4454</v>
      </c>
      <c r="B795" t="s">
        <v>4455</v>
      </c>
    </row>
    <row r="797" spans="1:2" x14ac:dyDescent="0.3">
      <c r="A797" s="1" t="s">
        <v>4456</v>
      </c>
    </row>
    <row r="798" spans="1:2" x14ac:dyDescent="0.3">
      <c r="A798" t="s">
        <v>4167</v>
      </c>
    </row>
    <row r="799" spans="1:2" x14ac:dyDescent="0.3">
      <c r="A799" t="s">
        <v>4457</v>
      </c>
    </row>
    <row r="800" spans="1:2" x14ac:dyDescent="0.3">
      <c r="A800" t="s">
        <v>4458</v>
      </c>
    </row>
    <row r="801" spans="1:1" x14ac:dyDescent="0.3">
      <c r="A801" t="s">
        <v>4459</v>
      </c>
    </row>
    <row r="802" spans="1:1" x14ac:dyDescent="0.3">
      <c r="A802" t="s">
        <v>4460</v>
      </c>
    </row>
    <row r="803" spans="1:1" x14ac:dyDescent="0.3">
      <c r="A803" t="s">
        <v>4461</v>
      </c>
    </row>
    <row r="804" spans="1:1" x14ac:dyDescent="0.3">
      <c r="A804" t="s">
        <v>4462</v>
      </c>
    </row>
    <row r="805" spans="1:1" x14ac:dyDescent="0.3">
      <c r="A805" t="s">
        <v>4463</v>
      </c>
    </row>
    <row r="806" spans="1:1" x14ac:dyDescent="0.3">
      <c r="A806" t="s">
        <v>4464</v>
      </c>
    </row>
    <row r="807" spans="1:1" x14ac:dyDescent="0.3">
      <c r="A807" s="1"/>
    </row>
    <row r="808" spans="1:1" x14ac:dyDescent="0.3">
      <c r="A808" s="1" t="s">
        <v>3573</v>
      </c>
    </row>
    <row r="809" spans="1:1" x14ac:dyDescent="0.3">
      <c r="A809" s="1" t="s">
        <v>4465</v>
      </c>
    </row>
    <row r="810" spans="1:1" x14ac:dyDescent="0.3">
      <c r="A810" t="s">
        <v>3573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E12DA7-418B-4D76-91D3-A3D7ABF8734B}">
  <dimension ref="A1:F270"/>
  <sheetViews>
    <sheetView workbookViewId="0">
      <pane ySplit="1" topLeftCell="A16" activePane="bottomLeft" state="frozen"/>
      <selection pane="bottomLeft" activeCell="I29" sqref="I29"/>
    </sheetView>
  </sheetViews>
  <sheetFormatPr defaultRowHeight="14.4" x14ac:dyDescent="0.3"/>
  <cols>
    <col min="1" max="1" width="25.88671875" customWidth="1"/>
    <col min="2" max="3" width="22.21875" customWidth="1"/>
    <col min="4" max="4" width="33.33203125" customWidth="1"/>
    <col min="5" max="5" width="22.21875" customWidth="1"/>
    <col min="6" max="6" width="9.21875" customWidth="1"/>
  </cols>
  <sheetData>
    <row r="1" spans="1:6" ht="23.4" x14ac:dyDescent="0.45">
      <c r="A1" s="179" t="s">
        <v>3512</v>
      </c>
      <c r="B1" s="179"/>
      <c r="C1" s="179"/>
      <c r="D1" s="179"/>
      <c r="E1" s="179"/>
      <c r="F1" s="179"/>
    </row>
    <row r="2" spans="1:6" x14ac:dyDescent="0.3">
      <c r="A2" s="180" t="s">
        <v>3513</v>
      </c>
      <c r="B2" s="180"/>
      <c r="C2" s="180"/>
      <c r="D2" s="180"/>
      <c r="E2" s="180"/>
      <c r="F2" s="180"/>
    </row>
    <row r="3" spans="1:6" x14ac:dyDescent="0.3">
      <c r="A3" s="58" t="s">
        <v>3514</v>
      </c>
    </row>
    <row r="5" spans="1:6" ht="15.6" x14ac:dyDescent="0.3">
      <c r="A5" s="15" t="s">
        <v>3515</v>
      </c>
    </row>
    <row r="6" spans="1:6" x14ac:dyDescent="0.3">
      <c r="A6" s="161" t="s">
        <v>2789</v>
      </c>
      <c r="B6" s="161" t="s">
        <v>3516</v>
      </c>
      <c r="C6" s="161" t="s">
        <v>3517</v>
      </c>
    </row>
    <row r="7" spans="1:6" x14ac:dyDescent="0.3">
      <c r="A7">
        <v>1</v>
      </c>
      <c r="B7" t="s">
        <v>0</v>
      </c>
      <c r="C7">
        <v>40</v>
      </c>
    </row>
    <row r="8" spans="1:6" x14ac:dyDescent="0.3">
      <c r="A8">
        <v>2</v>
      </c>
      <c r="B8" t="s">
        <v>3518</v>
      </c>
      <c r="C8">
        <v>52</v>
      </c>
    </row>
    <row r="9" spans="1:6" x14ac:dyDescent="0.3">
      <c r="A9">
        <v>3</v>
      </c>
      <c r="B9" t="s">
        <v>3519</v>
      </c>
      <c r="C9">
        <v>62</v>
      </c>
    </row>
    <row r="10" spans="1:6" x14ac:dyDescent="0.3">
      <c r="A10">
        <v>4</v>
      </c>
      <c r="B10" t="s">
        <v>3520</v>
      </c>
      <c r="C10">
        <v>68</v>
      </c>
    </row>
    <row r="11" spans="1:6" x14ac:dyDescent="0.3">
      <c r="A11">
        <v>5</v>
      </c>
      <c r="B11" t="s">
        <v>3521</v>
      </c>
      <c r="C11">
        <v>74</v>
      </c>
    </row>
    <row r="12" spans="1:6" x14ac:dyDescent="0.3">
      <c r="A12">
        <v>6</v>
      </c>
      <c r="B12" t="s">
        <v>3522</v>
      </c>
      <c r="C12">
        <v>81</v>
      </c>
    </row>
    <row r="13" spans="1:6" x14ac:dyDescent="0.3">
      <c r="A13">
        <v>7</v>
      </c>
      <c r="B13" t="s">
        <v>3523</v>
      </c>
      <c r="C13">
        <v>94</v>
      </c>
    </row>
    <row r="14" spans="1:6" x14ac:dyDescent="0.3">
      <c r="A14">
        <v>8</v>
      </c>
      <c r="B14" t="s">
        <v>3524</v>
      </c>
      <c r="C14">
        <v>102</v>
      </c>
    </row>
    <row r="15" spans="1:6" x14ac:dyDescent="0.3">
      <c r="A15">
        <v>9</v>
      </c>
      <c r="B15" t="s">
        <v>3525</v>
      </c>
      <c r="C15">
        <v>111</v>
      </c>
    </row>
    <row r="16" spans="1:6" x14ac:dyDescent="0.3">
      <c r="A16">
        <v>10</v>
      </c>
      <c r="B16" t="s">
        <v>3526</v>
      </c>
      <c r="C16">
        <v>119</v>
      </c>
    </row>
    <row r="17" spans="1:3" x14ac:dyDescent="0.3">
      <c r="A17">
        <v>11</v>
      </c>
      <c r="B17" t="s">
        <v>3527</v>
      </c>
      <c r="C17">
        <v>126</v>
      </c>
    </row>
    <row r="18" spans="1:3" x14ac:dyDescent="0.3">
      <c r="A18">
        <v>12</v>
      </c>
      <c r="B18" t="s">
        <v>3528</v>
      </c>
      <c r="C18">
        <v>134</v>
      </c>
    </row>
    <row r="19" spans="1:3" x14ac:dyDescent="0.3">
      <c r="A19">
        <v>13</v>
      </c>
      <c r="B19" t="s">
        <v>3529</v>
      </c>
      <c r="C19">
        <v>147</v>
      </c>
    </row>
    <row r="20" spans="1:3" x14ac:dyDescent="0.3">
      <c r="A20">
        <v>14</v>
      </c>
      <c r="B20" t="s">
        <v>3530</v>
      </c>
      <c r="C20">
        <v>156</v>
      </c>
    </row>
    <row r="21" spans="1:3" x14ac:dyDescent="0.3">
      <c r="A21">
        <v>15</v>
      </c>
      <c r="B21" t="s">
        <v>3531</v>
      </c>
      <c r="C21">
        <v>165</v>
      </c>
    </row>
    <row r="22" spans="1:3" x14ac:dyDescent="0.3">
      <c r="A22">
        <v>16</v>
      </c>
      <c r="B22" t="s">
        <v>3532</v>
      </c>
      <c r="C22">
        <v>179</v>
      </c>
    </row>
    <row r="23" spans="1:3" x14ac:dyDescent="0.3">
      <c r="A23">
        <v>17</v>
      </c>
      <c r="B23" t="s">
        <v>3533</v>
      </c>
      <c r="C23">
        <v>190</v>
      </c>
    </row>
    <row r="24" spans="1:3" x14ac:dyDescent="0.3">
      <c r="A24">
        <v>18</v>
      </c>
      <c r="B24" t="s">
        <v>3534</v>
      </c>
      <c r="C24">
        <v>200</v>
      </c>
    </row>
    <row r="25" spans="1:3" x14ac:dyDescent="0.3">
      <c r="A25">
        <v>19</v>
      </c>
      <c r="B25" t="s">
        <v>3535</v>
      </c>
      <c r="C25">
        <v>208</v>
      </c>
    </row>
    <row r="26" spans="1:3" x14ac:dyDescent="0.3">
      <c r="A26">
        <v>20</v>
      </c>
      <c r="B26" t="s">
        <v>3536</v>
      </c>
      <c r="C26">
        <v>216</v>
      </c>
    </row>
    <row r="27" spans="1:3" x14ac:dyDescent="0.3">
      <c r="A27">
        <v>21</v>
      </c>
      <c r="B27" t="s">
        <v>3537</v>
      </c>
      <c r="C27">
        <v>228</v>
      </c>
    </row>
    <row r="28" spans="1:3" x14ac:dyDescent="0.3">
      <c r="A28">
        <v>22</v>
      </c>
      <c r="B28" t="s">
        <v>3538</v>
      </c>
      <c r="C28">
        <v>238</v>
      </c>
    </row>
    <row r="29" spans="1:3" x14ac:dyDescent="0.3">
      <c r="A29">
        <v>23</v>
      </c>
      <c r="B29" t="s">
        <v>3539</v>
      </c>
      <c r="C29">
        <v>249</v>
      </c>
    </row>
    <row r="30" spans="1:3" x14ac:dyDescent="0.3">
      <c r="A30">
        <v>24</v>
      </c>
      <c r="B30" t="s">
        <v>3540</v>
      </c>
      <c r="C30">
        <v>259</v>
      </c>
    </row>
    <row r="32" spans="1:3" x14ac:dyDescent="0.3">
      <c r="A32" s="1" t="s">
        <v>3541</v>
      </c>
    </row>
    <row r="33" spans="1:6" x14ac:dyDescent="0.3">
      <c r="A33" s="161" t="s">
        <v>1799</v>
      </c>
      <c r="B33" s="161" t="s">
        <v>1800</v>
      </c>
      <c r="C33" s="161" t="s">
        <v>3542</v>
      </c>
    </row>
    <row r="34" spans="1:6" x14ac:dyDescent="0.3">
      <c r="A34" t="s">
        <v>3543</v>
      </c>
      <c r="B34">
        <v>8</v>
      </c>
      <c r="C34" t="s">
        <v>3544</v>
      </c>
    </row>
    <row r="35" spans="1:6" x14ac:dyDescent="0.3">
      <c r="A35" t="s">
        <v>3545</v>
      </c>
      <c r="B35">
        <v>84</v>
      </c>
      <c r="C35" t="s">
        <v>3544</v>
      </c>
    </row>
    <row r="36" spans="1:6" x14ac:dyDescent="0.3">
      <c r="A36" t="s">
        <v>1802</v>
      </c>
      <c r="B36">
        <v>80</v>
      </c>
      <c r="C36" t="s">
        <v>3546</v>
      </c>
    </row>
    <row r="37" spans="1:6" x14ac:dyDescent="0.3">
      <c r="A37" t="s">
        <v>3547</v>
      </c>
      <c r="B37" t="s">
        <v>3548</v>
      </c>
      <c r="C37" t="s">
        <v>3549</v>
      </c>
    </row>
    <row r="38" spans="1:6" x14ac:dyDescent="0.3">
      <c r="A38" t="s">
        <v>2772</v>
      </c>
      <c r="B38" t="s">
        <v>3550</v>
      </c>
      <c r="C38" t="s">
        <v>3551</v>
      </c>
    </row>
    <row r="40" spans="1:6" ht="15.6" x14ac:dyDescent="0.3">
      <c r="A40" s="162" t="s">
        <v>3058</v>
      </c>
    </row>
    <row r="41" spans="1:6" x14ac:dyDescent="0.3">
      <c r="A41" s="163" t="s">
        <v>3059</v>
      </c>
      <c r="B41" s="163" t="s">
        <v>3552</v>
      </c>
      <c r="C41" s="163" t="s">
        <v>3553</v>
      </c>
      <c r="D41" s="163" t="s">
        <v>3060</v>
      </c>
      <c r="E41" s="163"/>
      <c r="F41" s="163"/>
    </row>
    <row r="42" spans="1:6" x14ac:dyDescent="0.3">
      <c r="A42" t="s">
        <v>3061</v>
      </c>
      <c r="B42" t="s">
        <v>3554</v>
      </c>
      <c r="C42" t="s">
        <v>5</v>
      </c>
      <c r="D42" t="s">
        <v>3062</v>
      </c>
    </row>
    <row r="43" spans="1:6" x14ac:dyDescent="0.3">
      <c r="A43" t="s">
        <v>3063</v>
      </c>
      <c r="B43" t="s">
        <v>3555</v>
      </c>
      <c r="C43" t="s">
        <v>6</v>
      </c>
      <c r="D43" t="s">
        <v>3064</v>
      </c>
    </row>
    <row r="44" spans="1:6" x14ac:dyDescent="0.3">
      <c r="A44" t="s">
        <v>3065</v>
      </c>
      <c r="B44" t="s">
        <v>7</v>
      </c>
      <c r="C44" t="s">
        <v>7</v>
      </c>
      <c r="D44" t="s">
        <v>3066</v>
      </c>
    </row>
    <row r="45" spans="1:6" x14ac:dyDescent="0.3">
      <c r="A45" t="s">
        <v>3067</v>
      </c>
      <c r="B45" t="s">
        <v>3556</v>
      </c>
      <c r="C45" t="s">
        <v>8</v>
      </c>
      <c r="D45" t="s">
        <v>3068</v>
      </c>
    </row>
    <row r="46" spans="1:6" x14ac:dyDescent="0.3">
      <c r="A46" t="s">
        <v>3069</v>
      </c>
      <c r="B46" t="s">
        <v>9</v>
      </c>
      <c r="C46" t="s">
        <v>9</v>
      </c>
      <c r="D46" t="s">
        <v>3070</v>
      </c>
    </row>
    <row r="47" spans="1:6" x14ac:dyDescent="0.3">
      <c r="A47" t="s">
        <v>3071</v>
      </c>
      <c r="B47" t="s">
        <v>10</v>
      </c>
      <c r="C47" t="s">
        <v>10</v>
      </c>
      <c r="D47" t="s">
        <v>3072</v>
      </c>
    </row>
    <row r="48" spans="1:6" x14ac:dyDescent="0.3">
      <c r="A48" t="s">
        <v>3073</v>
      </c>
      <c r="B48" t="s">
        <v>3557</v>
      </c>
      <c r="C48" t="s">
        <v>11</v>
      </c>
      <c r="D48" t="s">
        <v>3074</v>
      </c>
    </row>
    <row r="49" spans="1:6" x14ac:dyDescent="0.3">
      <c r="A49" t="s">
        <v>3075</v>
      </c>
      <c r="B49" t="s">
        <v>3177</v>
      </c>
      <c r="C49" t="s">
        <v>12</v>
      </c>
      <c r="D49" t="s">
        <v>3076</v>
      </c>
    </row>
    <row r="52" spans="1:6" ht="15.6" x14ac:dyDescent="0.3">
      <c r="A52" s="162" t="s">
        <v>3077</v>
      </c>
    </row>
    <row r="53" spans="1:6" x14ac:dyDescent="0.3">
      <c r="A53" s="163" t="s">
        <v>3078</v>
      </c>
      <c r="B53" s="163" t="s">
        <v>3558</v>
      </c>
      <c r="C53" s="163" t="s">
        <v>3079</v>
      </c>
      <c r="D53" s="163" t="s">
        <v>2364</v>
      </c>
      <c r="E53" s="163" t="s">
        <v>1919</v>
      </c>
      <c r="F53" s="163"/>
    </row>
    <row r="54" spans="1:6" x14ac:dyDescent="0.3">
      <c r="A54" t="s">
        <v>3080</v>
      </c>
      <c r="B54" t="s">
        <v>3081</v>
      </c>
      <c r="C54">
        <v>1</v>
      </c>
      <c r="D54" t="s">
        <v>3082</v>
      </c>
      <c r="E54" t="s">
        <v>3559</v>
      </c>
    </row>
    <row r="55" spans="1:6" x14ac:dyDescent="0.3">
      <c r="A55" t="s">
        <v>3083</v>
      </c>
      <c r="B55" t="s">
        <v>2343</v>
      </c>
      <c r="C55">
        <v>2</v>
      </c>
      <c r="D55" t="s">
        <v>2565</v>
      </c>
      <c r="E55" t="s">
        <v>3560</v>
      </c>
    </row>
    <row r="56" spans="1:6" x14ac:dyDescent="0.3">
      <c r="A56" t="s">
        <v>29</v>
      </c>
      <c r="B56" t="s">
        <v>3084</v>
      </c>
      <c r="C56">
        <v>3</v>
      </c>
      <c r="D56" t="s">
        <v>2565</v>
      </c>
      <c r="E56" t="s">
        <v>3561</v>
      </c>
    </row>
    <row r="57" spans="1:6" x14ac:dyDescent="0.3">
      <c r="A57" t="s">
        <v>3085</v>
      </c>
      <c r="B57" t="s">
        <v>3086</v>
      </c>
      <c r="C57">
        <v>4</v>
      </c>
      <c r="D57" t="s">
        <v>2565</v>
      </c>
      <c r="E57" t="s">
        <v>3562</v>
      </c>
    </row>
    <row r="58" spans="1:6" x14ac:dyDescent="0.3">
      <c r="A58" t="s">
        <v>3087</v>
      </c>
      <c r="B58" t="s">
        <v>3088</v>
      </c>
      <c r="C58">
        <v>5</v>
      </c>
      <c r="D58" t="s">
        <v>3082</v>
      </c>
      <c r="E58" t="s">
        <v>3563</v>
      </c>
    </row>
    <row r="59" spans="1:6" x14ac:dyDescent="0.3">
      <c r="A59" t="s">
        <v>32</v>
      </c>
      <c r="B59" t="s">
        <v>3089</v>
      </c>
      <c r="C59">
        <v>6</v>
      </c>
      <c r="D59" t="s">
        <v>3082</v>
      </c>
      <c r="E59" t="s">
        <v>3090</v>
      </c>
    </row>
    <row r="62" spans="1:6" ht="15.6" x14ac:dyDescent="0.3">
      <c r="A62" s="162" t="s">
        <v>3091</v>
      </c>
    </row>
    <row r="63" spans="1:6" x14ac:dyDescent="0.3">
      <c r="A63" s="163" t="s">
        <v>3092</v>
      </c>
      <c r="B63" s="163" t="s">
        <v>1786</v>
      </c>
      <c r="C63" s="163" t="s">
        <v>1790</v>
      </c>
      <c r="D63" s="163" t="s">
        <v>1794</v>
      </c>
      <c r="E63" s="163" t="s">
        <v>3094</v>
      </c>
      <c r="F63" s="163" t="s">
        <v>3100</v>
      </c>
    </row>
    <row r="64" spans="1:6" x14ac:dyDescent="0.3">
      <c r="A64" t="s">
        <v>117</v>
      </c>
      <c r="B64">
        <v>3</v>
      </c>
      <c r="C64">
        <v>2</v>
      </c>
      <c r="D64">
        <v>1</v>
      </c>
      <c r="E64" t="s">
        <v>3095</v>
      </c>
      <c r="F64" t="s">
        <v>3564</v>
      </c>
    </row>
    <row r="65" spans="1:6" x14ac:dyDescent="0.3">
      <c r="A65" t="s">
        <v>127</v>
      </c>
      <c r="B65">
        <v>5</v>
      </c>
      <c r="C65">
        <v>3</v>
      </c>
      <c r="D65">
        <v>2</v>
      </c>
      <c r="E65" t="s">
        <v>3096</v>
      </c>
      <c r="F65" t="s">
        <v>3565</v>
      </c>
    </row>
    <row r="66" spans="1:6" x14ac:dyDescent="0.3">
      <c r="A66" t="s">
        <v>163</v>
      </c>
      <c r="B66">
        <v>10</v>
      </c>
      <c r="C66">
        <v>5</v>
      </c>
      <c r="D66">
        <v>4</v>
      </c>
      <c r="E66" t="s">
        <v>3097</v>
      </c>
      <c r="F66" t="s">
        <v>3566</v>
      </c>
    </row>
    <row r="68" spans="1:6" ht="15.6" x14ac:dyDescent="0.3">
      <c r="A68" s="162" t="s">
        <v>3098</v>
      </c>
    </row>
    <row r="69" spans="1:6" x14ac:dyDescent="0.3">
      <c r="A69" s="163" t="s">
        <v>3050</v>
      </c>
      <c r="B69" s="163" t="s">
        <v>3099</v>
      </c>
      <c r="C69" s="163" t="s">
        <v>3200</v>
      </c>
      <c r="D69" s="163" t="s">
        <v>1919</v>
      </c>
      <c r="E69" s="163" t="s">
        <v>3100</v>
      </c>
      <c r="F69" s="163"/>
    </row>
    <row r="70" spans="1:6" x14ac:dyDescent="0.3">
      <c r="A70" t="s">
        <v>128</v>
      </c>
      <c r="B70" t="s">
        <v>3101</v>
      </c>
      <c r="C70" t="s">
        <v>3165</v>
      </c>
      <c r="D70" t="s">
        <v>3567</v>
      </c>
      <c r="E70" t="s">
        <v>3568</v>
      </c>
    </row>
    <row r="71" spans="1:6" x14ac:dyDescent="0.3">
      <c r="A71" t="s">
        <v>127</v>
      </c>
      <c r="B71" t="s">
        <v>3102</v>
      </c>
      <c r="C71" t="s">
        <v>3160</v>
      </c>
      <c r="D71" t="s">
        <v>3103</v>
      </c>
      <c r="E71" t="s">
        <v>3569</v>
      </c>
    </row>
    <row r="72" spans="1:6" x14ac:dyDescent="0.3">
      <c r="A72" t="s">
        <v>118</v>
      </c>
      <c r="B72" t="s">
        <v>3104</v>
      </c>
      <c r="C72" t="s">
        <v>3158</v>
      </c>
      <c r="D72" t="s">
        <v>3105</v>
      </c>
      <c r="E72" t="s">
        <v>3106</v>
      </c>
    </row>
    <row r="74" spans="1:6" ht="15.6" x14ac:dyDescent="0.3">
      <c r="A74" s="162" t="s">
        <v>3107</v>
      </c>
    </row>
    <row r="75" spans="1:6" x14ac:dyDescent="0.3">
      <c r="A75" s="163" t="s">
        <v>107</v>
      </c>
      <c r="B75" s="163" t="s">
        <v>3099</v>
      </c>
      <c r="C75" s="163" t="s">
        <v>3108</v>
      </c>
      <c r="D75" s="163" t="s">
        <v>3109</v>
      </c>
      <c r="E75" s="163" t="s">
        <v>1919</v>
      </c>
      <c r="F75" s="163"/>
    </row>
    <row r="76" spans="1:6" x14ac:dyDescent="0.3">
      <c r="A76" t="s">
        <v>2171</v>
      </c>
      <c r="B76" t="s">
        <v>3110</v>
      </c>
      <c r="C76" t="s">
        <v>3111</v>
      </c>
      <c r="D76" t="s">
        <v>3112</v>
      </c>
      <c r="E76" t="s">
        <v>3113</v>
      </c>
    </row>
    <row r="77" spans="1:6" x14ac:dyDescent="0.3">
      <c r="A77" t="s">
        <v>128</v>
      </c>
      <c r="B77" t="s">
        <v>3114</v>
      </c>
      <c r="C77" t="s">
        <v>3115</v>
      </c>
      <c r="D77" t="s">
        <v>3116</v>
      </c>
      <c r="E77" t="s">
        <v>3117</v>
      </c>
    </row>
    <row r="78" spans="1:6" x14ac:dyDescent="0.3">
      <c r="A78" t="s">
        <v>127</v>
      </c>
      <c r="B78" t="s">
        <v>3118</v>
      </c>
      <c r="C78" t="s">
        <v>3119</v>
      </c>
      <c r="D78" t="s">
        <v>3120</v>
      </c>
      <c r="E78" t="s">
        <v>3121</v>
      </c>
    </row>
    <row r="79" spans="1:6" x14ac:dyDescent="0.3">
      <c r="A79" t="s">
        <v>118</v>
      </c>
      <c r="B79" t="s">
        <v>3122</v>
      </c>
      <c r="C79" t="s">
        <v>3123</v>
      </c>
      <c r="D79" t="s">
        <v>496</v>
      </c>
      <c r="E79" t="s">
        <v>3124</v>
      </c>
    </row>
    <row r="81" spans="1:6" ht="15.6" x14ac:dyDescent="0.3">
      <c r="A81" s="162" t="s">
        <v>3125</v>
      </c>
    </row>
    <row r="82" spans="1:6" x14ac:dyDescent="0.3">
      <c r="A82" s="163" t="s">
        <v>3126</v>
      </c>
      <c r="B82" s="163" t="s">
        <v>3127</v>
      </c>
      <c r="C82" s="163" t="s">
        <v>3128</v>
      </c>
      <c r="D82" s="163" t="s">
        <v>1919</v>
      </c>
      <c r="E82" s="163"/>
      <c r="F82" s="163"/>
    </row>
    <row r="83" spans="1:6" x14ac:dyDescent="0.3">
      <c r="A83" t="s">
        <v>3129</v>
      </c>
      <c r="B83" t="s">
        <v>2574</v>
      </c>
      <c r="C83" t="s">
        <v>3130</v>
      </c>
      <c r="D83" t="s">
        <v>3131</v>
      </c>
    </row>
    <row r="84" spans="1:6" x14ac:dyDescent="0.3">
      <c r="A84" t="s">
        <v>3132</v>
      </c>
      <c r="B84" t="s">
        <v>3133</v>
      </c>
      <c r="C84" t="s">
        <v>3134</v>
      </c>
      <c r="D84" t="s">
        <v>3135</v>
      </c>
    </row>
    <row r="85" spans="1:6" x14ac:dyDescent="0.3">
      <c r="A85" t="s">
        <v>3136</v>
      </c>
      <c r="B85" t="s">
        <v>2585</v>
      </c>
      <c r="C85" t="s">
        <v>3134</v>
      </c>
      <c r="D85" t="s">
        <v>3137</v>
      </c>
    </row>
    <row r="86" spans="1:6" x14ac:dyDescent="0.3">
      <c r="A86" t="s">
        <v>3138</v>
      </c>
      <c r="B86" t="s">
        <v>2584</v>
      </c>
      <c r="C86" t="s">
        <v>2561</v>
      </c>
      <c r="D86" t="s">
        <v>3139</v>
      </c>
    </row>
    <row r="87" spans="1:6" x14ac:dyDescent="0.3">
      <c r="A87" t="s">
        <v>3140</v>
      </c>
      <c r="B87" t="s">
        <v>2293</v>
      </c>
      <c r="C87" t="s">
        <v>874</v>
      </c>
      <c r="D87" t="s">
        <v>3141</v>
      </c>
    </row>
    <row r="88" spans="1:6" x14ac:dyDescent="0.3">
      <c r="A88" t="s">
        <v>3142</v>
      </c>
      <c r="B88" t="s">
        <v>2583</v>
      </c>
      <c r="C88" t="s">
        <v>3143</v>
      </c>
      <c r="D88" t="s">
        <v>3144</v>
      </c>
    </row>
    <row r="89" spans="1:6" x14ac:dyDescent="0.3">
      <c r="A89" t="s">
        <v>3145</v>
      </c>
      <c r="B89" t="s">
        <v>2556</v>
      </c>
      <c r="C89" t="s">
        <v>3143</v>
      </c>
      <c r="D89" t="s">
        <v>3146</v>
      </c>
    </row>
    <row r="90" spans="1:6" x14ac:dyDescent="0.3">
      <c r="A90" t="s">
        <v>3147</v>
      </c>
      <c r="B90" t="s">
        <v>3148</v>
      </c>
      <c r="C90" t="s">
        <v>3149</v>
      </c>
      <c r="D90" t="s">
        <v>3150</v>
      </c>
    </row>
    <row r="91" spans="1:6" x14ac:dyDescent="0.3">
      <c r="A91" t="s">
        <v>3151</v>
      </c>
      <c r="B91" t="s">
        <v>3152</v>
      </c>
      <c r="C91" t="s">
        <v>3149</v>
      </c>
      <c r="D91" t="s">
        <v>3153</v>
      </c>
    </row>
    <row r="92" spans="1:6" x14ac:dyDescent="0.3">
      <c r="A92" t="s">
        <v>3570</v>
      </c>
      <c r="B92" t="s">
        <v>3571</v>
      </c>
      <c r="C92" t="s">
        <v>3149</v>
      </c>
      <c r="D92" t="s">
        <v>3572</v>
      </c>
    </row>
    <row r="94" spans="1:6" ht="15.6" x14ac:dyDescent="0.3">
      <c r="A94" s="162" t="s">
        <v>3154</v>
      </c>
    </row>
    <row r="95" spans="1:6" x14ac:dyDescent="0.3">
      <c r="A95" s="163" t="s">
        <v>2746</v>
      </c>
      <c r="B95" s="163" t="s">
        <v>2745</v>
      </c>
      <c r="C95" s="163" t="s">
        <v>3155</v>
      </c>
      <c r="D95" s="163" t="s">
        <v>3156</v>
      </c>
      <c r="E95" s="163" t="s">
        <v>3157</v>
      </c>
      <c r="F95" s="163"/>
    </row>
    <row r="96" spans="1:6" x14ac:dyDescent="0.3">
      <c r="A96" t="s">
        <v>2748</v>
      </c>
      <c r="B96" t="s">
        <v>3051</v>
      </c>
      <c r="C96" t="s">
        <v>3158</v>
      </c>
      <c r="D96" t="s">
        <v>3159</v>
      </c>
      <c r="E96" t="s">
        <v>1057</v>
      </c>
    </row>
    <row r="97" spans="1:6" x14ac:dyDescent="0.3">
      <c r="A97" t="s">
        <v>2750</v>
      </c>
      <c r="B97" t="s">
        <v>2749</v>
      </c>
      <c r="C97" t="s">
        <v>3160</v>
      </c>
      <c r="D97" t="s">
        <v>3053</v>
      </c>
      <c r="E97" t="s">
        <v>3161</v>
      </c>
    </row>
    <row r="98" spans="1:6" x14ac:dyDescent="0.3">
      <c r="A98" t="s">
        <v>495</v>
      </c>
      <c r="B98" t="s">
        <v>2751</v>
      </c>
      <c r="C98" t="s">
        <v>3162</v>
      </c>
      <c r="D98" t="s">
        <v>3163</v>
      </c>
      <c r="E98" t="s">
        <v>3164</v>
      </c>
    </row>
    <row r="99" spans="1:6" x14ac:dyDescent="0.3">
      <c r="A99" t="s">
        <v>518</v>
      </c>
      <c r="B99" t="s">
        <v>2752</v>
      </c>
      <c r="C99" t="s">
        <v>3165</v>
      </c>
      <c r="D99" t="s">
        <v>3166</v>
      </c>
      <c r="E99" t="s">
        <v>3167</v>
      </c>
    </row>
    <row r="100" spans="1:6" x14ac:dyDescent="0.3">
      <c r="A100" t="s">
        <v>2753</v>
      </c>
      <c r="B100" t="s">
        <v>3056</v>
      </c>
      <c r="C100" t="s">
        <v>3168</v>
      </c>
      <c r="D100" t="s">
        <v>3169</v>
      </c>
      <c r="E100" t="s">
        <v>3170</v>
      </c>
    </row>
    <row r="102" spans="1:6" ht="15.6" x14ac:dyDescent="0.3">
      <c r="A102" s="162" t="s">
        <v>3171</v>
      </c>
    </row>
    <row r="103" spans="1:6" x14ac:dyDescent="0.3">
      <c r="A103" s="163" t="s">
        <v>2639</v>
      </c>
      <c r="B103" s="163" t="s">
        <v>3099</v>
      </c>
      <c r="C103" s="163" t="s">
        <v>2642</v>
      </c>
      <c r="D103" s="163" t="s">
        <v>3172</v>
      </c>
      <c r="E103" s="163" t="s">
        <v>3173</v>
      </c>
      <c r="F103" s="163"/>
    </row>
    <row r="104" spans="1:6" x14ac:dyDescent="0.3">
      <c r="A104" t="s">
        <v>3174</v>
      </c>
      <c r="B104" t="s">
        <v>3175</v>
      </c>
      <c r="C104" t="s">
        <v>3176</v>
      </c>
      <c r="D104">
        <v>24</v>
      </c>
      <c r="E104">
        <v>1</v>
      </c>
    </row>
    <row r="105" spans="1:6" x14ac:dyDescent="0.3">
      <c r="A105" t="s">
        <v>2654</v>
      </c>
      <c r="B105" t="s">
        <v>3177</v>
      </c>
      <c r="C105" t="s">
        <v>2862</v>
      </c>
      <c r="D105">
        <v>48</v>
      </c>
      <c r="E105">
        <v>2</v>
      </c>
    </row>
    <row r="106" spans="1:6" x14ac:dyDescent="0.3">
      <c r="A106" t="s">
        <v>2659</v>
      </c>
      <c r="B106" t="s">
        <v>3178</v>
      </c>
      <c r="C106" t="s">
        <v>3179</v>
      </c>
      <c r="D106">
        <v>24</v>
      </c>
      <c r="E106">
        <v>3</v>
      </c>
    </row>
    <row r="107" spans="1:6" x14ac:dyDescent="0.3">
      <c r="A107" t="s">
        <v>3180</v>
      </c>
      <c r="B107" t="s">
        <v>983</v>
      </c>
      <c r="C107" t="s">
        <v>982</v>
      </c>
      <c r="D107">
        <v>8</v>
      </c>
      <c r="E107">
        <v>4</v>
      </c>
    </row>
    <row r="108" spans="1:6" x14ac:dyDescent="0.3">
      <c r="A108" t="s">
        <v>3181</v>
      </c>
      <c r="B108" t="s">
        <v>3182</v>
      </c>
      <c r="C108" t="s">
        <v>3183</v>
      </c>
      <c r="D108">
        <v>48</v>
      </c>
      <c r="E108">
        <v>5</v>
      </c>
    </row>
    <row r="109" spans="1:6" x14ac:dyDescent="0.3">
      <c r="A109" t="s">
        <v>3184</v>
      </c>
      <c r="B109" t="s">
        <v>3185</v>
      </c>
      <c r="C109" t="s">
        <v>1057</v>
      </c>
      <c r="D109">
        <v>4</v>
      </c>
      <c r="E109">
        <v>6</v>
      </c>
    </row>
    <row r="111" spans="1:6" ht="15.6" x14ac:dyDescent="0.3">
      <c r="A111" s="162" t="s">
        <v>3186</v>
      </c>
    </row>
    <row r="112" spans="1:6" x14ac:dyDescent="0.3">
      <c r="A112" s="163" t="s">
        <v>383</v>
      </c>
      <c r="B112" s="163" t="s">
        <v>3099</v>
      </c>
      <c r="C112" s="163" t="s">
        <v>106</v>
      </c>
      <c r="D112" s="163" t="s">
        <v>1919</v>
      </c>
      <c r="E112" s="163"/>
      <c r="F112" s="163"/>
    </row>
    <row r="113" spans="1:6" x14ac:dyDescent="0.3">
      <c r="A113" t="s">
        <v>2593</v>
      </c>
      <c r="B113" t="s">
        <v>3187</v>
      </c>
      <c r="C113" t="s">
        <v>3188</v>
      </c>
      <c r="D113" t="s">
        <v>3189</v>
      </c>
    </row>
    <row r="114" spans="1:6" x14ac:dyDescent="0.3">
      <c r="A114" t="s">
        <v>2598</v>
      </c>
      <c r="B114" t="s">
        <v>3190</v>
      </c>
      <c r="C114" t="s">
        <v>3191</v>
      </c>
      <c r="D114" t="s">
        <v>3192</v>
      </c>
    </row>
    <row r="115" spans="1:6" x14ac:dyDescent="0.3">
      <c r="A115" t="s">
        <v>2355</v>
      </c>
      <c r="B115" t="s">
        <v>3175</v>
      </c>
      <c r="C115" t="s">
        <v>3188</v>
      </c>
      <c r="D115" t="s">
        <v>3193</v>
      </c>
    </row>
    <row r="116" spans="1:6" x14ac:dyDescent="0.3">
      <c r="A116" t="s">
        <v>2302</v>
      </c>
      <c r="B116" t="s">
        <v>3194</v>
      </c>
      <c r="C116" t="s">
        <v>3188</v>
      </c>
      <c r="D116" t="s">
        <v>3195</v>
      </c>
    </row>
    <row r="117" spans="1:6" x14ac:dyDescent="0.3">
      <c r="A117" t="s">
        <v>514</v>
      </c>
      <c r="B117" t="s">
        <v>3196</v>
      </c>
      <c r="C117" t="s">
        <v>3197</v>
      </c>
      <c r="D117" t="s">
        <v>3198</v>
      </c>
    </row>
    <row r="119" spans="1:6" ht="15.6" x14ac:dyDescent="0.3">
      <c r="A119" s="162" t="s">
        <v>3199</v>
      </c>
    </row>
    <row r="120" spans="1:6" x14ac:dyDescent="0.3">
      <c r="A120" s="163" t="s">
        <v>112</v>
      </c>
      <c r="B120" s="163" t="s">
        <v>3099</v>
      </c>
      <c r="C120" s="163" t="s">
        <v>3200</v>
      </c>
      <c r="D120" s="163" t="s">
        <v>1919</v>
      </c>
      <c r="E120" s="163"/>
      <c r="F120" s="163"/>
    </row>
    <row r="121" spans="1:6" x14ac:dyDescent="0.3">
      <c r="A121" t="s">
        <v>2594</v>
      </c>
      <c r="B121" t="s">
        <v>3201</v>
      </c>
      <c r="C121" t="s">
        <v>3158</v>
      </c>
      <c r="D121" t="s">
        <v>3202</v>
      </c>
    </row>
    <row r="122" spans="1:6" x14ac:dyDescent="0.3">
      <c r="A122" t="s">
        <v>2557</v>
      </c>
      <c r="B122" t="s">
        <v>3203</v>
      </c>
      <c r="C122" t="s">
        <v>3160</v>
      </c>
      <c r="D122" t="s">
        <v>3204</v>
      </c>
    </row>
    <row r="123" spans="1:6" x14ac:dyDescent="0.3">
      <c r="A123" t="s">
        <v>2583</v>
      </c>
      <c r="B123" t="s">
        <v>3205</v>
      </c>
      <c r="C123" t="s">
        <v>3165</v>
      </c>
      <c r="D123" t="s">
        <v>3206</v>
      </c>
    </row>
    <row r="124" spans="1:6" x14ac:dyDescent="0.3">
      <c r="A124" t="s">
        <v>2605</v>
      </c>
      <c r="B124" t="s">
        <v>3207</v>
      </c>
      <c r="C124" t="s">
        <v>3208</v>
      </c>
      <c r="D124" t="s">
        <v>3209</v>
      </c>
    </row>
    <row r="126" spans="1:6" ht="15.6" x14ac:dyDescent="0.3">
      <c r="A126" s="162" t="s">
        <v>3210</v>
      </c>
    </row>
    <row r="127" spans="1:6" x14ac:dyDescent="0.3">
      <c r="A127" s="163" t="s">
        <v>1947</v>
      </c>
      <c r="B127" s="163" t="s">
        <v>3099</v>
      </c>
      <c r="C127" s="163" t="s">
        <v>1950</v>
      </c>
      <c r="D127" s="163" t="s">
        <v>3211</v>
      </c>
      <c r="E127" s="163"/>
      <c r="F127" s="163"/>
    </row>
    <row r="128" spans="1:6" x14ac:dyDescent="0.3">
      <c r="A128" t="s">
        <v>1952</v>
      </c>
      <c r="B128" t="s">
        <v>3212</v>
      </c>
      <c r="C128" t="s">
        <v>3213</v>
      </c>
      <c r="D128" t="s">
        <v>3214</v>
      </c>
    </row>
    <row r="129" spans="1:6" x14ac:dyDescent="0.3">
      <c r="A129" t="s">
        <v>1957</v>
      </c>
      <c r="B129" t="s">
        <v>3215</v>
      </c>
      <c r="C129" t="s">
        <v>118</v>
      </c>
      <c r="D129" t="s">
        <v>3216</v>
      </c>
    </row>
    <row r="130" spans="1:6" x14ac:dyDescent="0.3">
      <c r="A130" t="s">
        <v>1961</v>
      </c>
      <c r="B130" t="s">
        <v>3217</v>
      </c>
      <c r="C130" t="s">
        <v>3197</v>
      </c>
      <c r="D130" t="s">
        <v>3218</v>
      </c>
    </row>
    <row r="131" spans="1:6" x14ac:dyDescent="0.3">
      <c r="A131" t="s">
        <v>1980</v>
      </c>
      <c r="B131" t="s">
        <v>3219</v>
      </c>
      <c r="C131" t="s">
        <v>118</v>
      </c>
      <c r="D131" t="s">
        <v>3220</v>
      </c>
    </row>
    <row r="132" spans="1:6" x14ac:dyDescent="0.3">
      <c r="A132" t="s">
        <v>2430</v>
      </c>
      <c r="B132" t="s">
        <v>3221</v>
      </c>
      <c r="C132" t="s">
        <v>118</v>
      </c>
      <c r="D132" t="s">
        <v>3222</v>
      </c>
    </row>
    <row r="134" spans="1:6" ht="15.6" x14ac:dyDescent="0.3">
      <c r="A134" s="162" t="s">
        <v>3223</v>
      </c>
    </row>
    <row r="135" spans="1:6" x14ac:dyDescent="0.3">
      <c r="A135" s="163" t="s">
        <v>936</v>
      </c>
      <c r="B135" s="163" t="s">
        <v>3099</v>
      </c>
      <c r="C135" s="163" t="s">
        <v>3224</v>
      </c>
      <c r="D135" s="163" t="s">
        <v>3225</v>
      </c>
      <c r="E135" s="163" t="s">
        <v>945</v>
      </c>
      <c r="F135" s="163"/>
    </row>
    <row r="136" spans="1:6" x14ac:dyDescent="0.3">
      <c r="A136" t="s">
        <v>3226</v>
      </c>
      <c r="B136" t="s">
        <v>3227</v>
      </c>
      <c r="C136" t="s">
        <v>3228</v>
      </c>
      <c r="D136" t="s">
        <v>3228</v>
      </c>
      <c r="E136" t="s">
        <v>3228</v>
      </c>
    </row>
    <row r="137" spans="1:6" x14ac:dyDescent="0.3">
      <c r="A137" t="s">
        <v>1057</v>
      </c>
      <c r="B137" t="s">
        <v>3229</v>
      </c>
      <c r="C137" t="s">
        <v>3228</v>
      </c>
      <c r="D137" t="s">
        <v>3228</v>
      </c>
      <c r="E137" t="s">
        <v>504</v>
      </c>
    </row>
    <row r="138" spans="1:6" x14ac:dyDescent="0.3">
      <c r="A138" t="s">
        <v>943</v>
      </c>
      <c r="B138" t="s">
        <v>3230</v>
      </c>
      <c r="C138" t="s">
        <v>3228</v>
      </c>
      <c r="D138" t="s">
        <v>3228</v>
      </c>
      <c r="E138" t="s">
        <v>2808</v>
      </c>
    </row>
    <row r="139" spans="1:6" x14ac:dyDescent="0.3">
      <c r="A139" t="s">
        <v>982</v>
      </c>
      <c r="B139" t="s">
        <v>3231</v>
      </c>
      <c r="C139" t="s">
        <v>2808</v>
      </c>
      <c r="D139" t="s">
        <v>3228</v>
      </c>
      <c r="E139" t="s">
        <v>2808</v>
      </c>
    </row>
    <row r="140" spans="1:6" x14ac:dyDescent="0.3">
      <c r="A140" t="s">
        <v>622</v>
      </c>
      <c r="B140" t="s">
        <v>3232</v>
      </c>
      <c r="C140" t="s">
        <v>3228</v>
      </c>
      <c r="D140" t="s">
        <v>3228</v>
      </c>
      <c r="E140" t="s">
        <v>2808</v>
      </c>
    </row>
    <row r="141" spans="1:6" x14ac:dyDescent="0.3">
      <c r="A141" t="s">
        <v>1020</v>
      </c>
      <c r="B141" t="s">
        <v>3233</v>
      </c>
      <c r="C141" t="s">
        <v>3228</v>
      </c>
      <c r="D141" t="s">
        <v>2808</v>
      </c>
      <c r="E141" t="s">
        <v>2808</v>
      </c>
    </row>
    <row r="142" spans="1:6" x14ac:dyDescent="0.3">
      <c r="A142" t="s">
        <v>3234</v>
      </c>
      <c r="B142" t="s">
        <v>3080</v>
      </c>
      <c r="C142" t="s">
        <v>504</v>
      </c>
      <c r="D142" t="s">
        <v>2808</v>
      </c>
      <c r="E142" t="s">
        <v>2808</v>
      </c>
    </row>
    <row r="143" spans="1:6" x14ac:dyDescent="0.3">
      <c r="A143" t="s">
        <v>3235</v>
      </c>
      <c r="B143" t="s">
        <v>3083</v>
      </c>
      <c r="C143" t="s">
        <v>2808</v>
      </c>
      <c r="D143" t="s">
        <v>2808</v>
      </c>
      <c r="E143" t="s">
        <v>2808</v>
      </c>
    </row>
    <row r="144" spans="1:6" x14ac:dyDescent="0.3">
      <c r="A144" t="s">
        <v>3236</v>
      </c>
      <c r="B144" t="s">
        <v>3237</v>
      </c>
      <c r="C144" t="s">
        <v>2808</v>
      </c>
      <c r="D144" t="s">
        <v>2808</v>
      </c>
      <c r="E144" t="s">
        <v>2808</v>
      </c>
    </row>
    <row r="145" spans="1:6" x14ac:dyDescent="0.3">
      <c r="A145" t="s">
        <v>3238</v>
      </c>
      <c r="B145" t="s">
        <v>3182</v>
      </c>
      <c r="C145" t="s">
        <v>2808</v>
      </c>
      <c r="D145" t="s">
        <v>3228</v>
      </c>
      <c r="E145" t="s">
        <v>2808</v>
      </c>
    </row>
    <row r="147" spans="1:6" ht="15.6" x14ac:dyDescent="0.3">
      <c r="A147" s="162" t="s">
        <v>3239</v>
      </c>
    </row>
    <row r="148" spans="1:6" x14ac:dyDescent="0.3">
      <c r="A148" s="163" t="s">
        <v>2708</v>
      </c>
      <c r="B148" s="163" t="s">
        <v>3099</v>
      </c>
      <c r="C148" s="163" t="s">
        <v>2284</v>
      </c>
      <c r="D148" s="163" t="s">
        <v>1919</v>
      </c>
      <c r="E148" s="163"/>
      <c r="F148" s="163"/>
    </row>
    <row r="149" spans="1:6" x14ac:dyDescent="0.3">
      <c r="A149" t="s">
        <v>1113</v>
      </c>
      <c r="B149" t="s">
        <v>3240</v>
      </c>
      <c r="C149" t="s">
        <v>128</v>
      </c>
      <c r="D149" t="s">
        <v>3241</v>
      </c>
    </row>
    <row r="150" spans="1:6" x14ac:dyDescent="0.3">
      <c r="A150" t="s">
        <v>2295</v>
      </c>
      <c r="B150" t="s">
        <v>3242</v>
      </c>
      <c r="C150" t="s">
        <v>127</v>
      </c>
      <c r="D150" t="s">
        <v>3243</v>
      </c>
    </row>
    <row r="151" spans="1:6" x14ac:dyDescent="0.3">
      <c r="A151" t="s">
        <v>2302</v>
      </c>
      <c r="B151" t="s">
        <v>3194</v>
      </c>
      <c r="C151" t="s">
        <v>128</v>
      </c>
      <c r="D151" t="s">
        <v>3244</v>
      </c>
    </row>
    <row r="152" spans="1:6" x14ac:dyDescent="0.3">
      <c r="A152" t="s">
        <v>514</v>
      </c>
      <c r="B152" t="s">
        <v>3196</v>
      </c>
      <c r="C152" t="s">
        <v>128</v>
      </c>
      <c r="D152" t="s">
        <v>3245</v>
      </c>
    </row>
    <row r="153" spans="1:6" x14ac:dyDescent="0.3">
      <c r="A153" t="s">
        <v>12</v>
      </c>
      <c r="B153" t="s">
        <v>3177</v>
      </c>
      <c r="C153" t="s">
        <v>2171</v>
      </c>
      <c r="D153" t="s">
        <v>3246</v>
      </c>
    </row>
    <row r="154" spans="1:6" x14ac:dyDescent="0.3">
      <c r="A154" t="s">
        <v>3099</v>
      </c>
      <c r="B154" t="s">
        <v>3247</v>
      </c>
      <c r="C154" t="s">
        <v>127</v>
      </c>
      <c r="D154" t="s">
        <v>3248</v>
      </c>
    </row>
    <row r="156" spans="1:6" ht="15.6" x14ac:dyDescent="0.3">
      <c r="A156" s="162" t="s">
        <v>3249</v>
      </c>
    </row>
    <row r="157" spans="1:6" x14ac:dyDescent="0.3">
      <c r="A157" s="163" t="s">
        <v>4</v>
      </c>
      <c r="B157" s="163" t="s">
        <v>383</v>
      </c>
      <c r="C157" s="163" t="s">
        <v>3250</v>
      </c>
      <c r="D157" s="163" t="s">
        <v>3251</v>
      </c>
      <c r="E157" s="163" t="s">
        <v>3252</v>
      </c>
      <c r="F157" s="163"/>
    </row>
    <row r="158" spans="1:6" x14ac:dyDescent="0.3">
      <c r="A158" t="s">
        <v>1939</v>
      </c>
      <c r="B158" t="s">
        <v>3253</v>
      </c>
      <c r="C158" t="s">
        <v>3254</v>
      </c>
      <c r="D158" t="s">
        <v>3255</v>
      </c>
      <c r="E158" t="s">
        <v>3256</v>
      </c>
    </row>
    <row r="159" spans="1:6" x14ac:dyDescent="0.3">
      <c r="A159" t="s">
        <v>3257</v>
      </c>
      <c r="B159" t="s">
        <v>3191</v>
      </c>
      <c r="C159" t="s">
        <v>1928</v>
      </c>
      <c r="D159" t="s">
        <v>3258</v>
      </c>
      <c r="E159" t="s">
        <v>3259</v>
      </c>
    </row>
    <row r="160" spans="1:6" x14ac:dyDescent="0.3">
      <c r="A160" t="s">
        <v>3260</v>
      </c>
      <c r="B160" t="s">
        <v>3191</v>
      </c>
      <c r="C160" t="s">
        <v>1928</v>
      </c>
      <c r="D160" t="s">
        <v>3261</v>
      </c>
      <c r="E160" t="s">
        <v>3259</v>
      </c>
    </row>
    <row r="161" spans="1:6" x14ac:dyDescent="0.3">
      <c r="A161" t="s">
        <v>3262</v>
      </c>
      <c r="B161" t="s">
        <v>3191</v>
      </c>
      <c r="C161" t="s">
        <v>1928</v>
      </c>
      <c r="D161" t="s">
        <v>3263</v>
      </c>
      <c r="E161" t="s">
        <v>3259</v>
      </c>
    </row>
    <row r="162" spans="1:6" x14ac:dyDescent="0.3">
      <c r="A162" t="s">
        <v>3264</v>
      </c>
      <c r="B162" t="s">
        <v>3197</v>
      </c>
      <c r="C162" t="s">
        <v>3265</v>
      </c>
      <c r="D162" t="s">
        <v>3266</v>
      </c>
      <c r="E162" t="s">
        <v>3267</v>
      </c>
    </row>
    <row r="163" spans="1:6" x14ac:dyDescent="0.3">
      <c r="A163" t="s">
        <v>3268</v>
      </c>
      <c r="B163" t="s">
        <v>3191</v>
      </c>
      <c r="C163" t="s">
        <v>3197</v>
      </c>
      <c r="D163" t="s">
        <v>3269</v>
      </c>
      <c r="E163" t="s">
        <v>3270</v>
      </c>
    </row>
    <row r="165" spans="1:6" ht="15.6" x14ac:dyDescent="0.3">
      <c r="A165" s="162" t="s">
        <v>3271</v>
      </c>
    </row>
    <row r="166" spans="1:6" x14ac:dyDescent="0.3">
      <c r="A166" s="163" t="s">
        <v>2708</v>
      </c>
      <c r="B166" s="163" t="s">
        <v>2709</v>
      </c>
      <c r="C166" s="163" t="s">
        <v>3272</v>
      </c>
      <c r="D166" s="163" t="s">
        <v>3273</v>
      </c>
      <c r="E166" s="163"/>
      <c r="F166" s="163"/>
    </row>
    <row r="167" spans="1:6" x14ac:dyDescent="0.3">
      <c r="A167" t="s">
        <v>2711</v>
      </c>
      <c r="B167" s="57">
        <v>0.12</v>
      </c>
      <c r="C167">
        <v>5</v>
      </c>
      <c r="D167" t="s">
        <v>3274</v>
      </c>
    </row>
    <row r="168" spans="1:6" x14ac:dyDescent="0.3">
      <c r="A168" t="s">
        <v>2720</v>
      </c>
      <c r="B168" s="57">
        <v>0.14000000000000001</v>
      </c>
      <c r="C168">
        <v>6</v>
      </c>
      <c r="D168" t="s">
        <v>3275</v>
      </c>
    </row>
    <row r="169" spans="1:6" x14ac:dyDescent="0.3">
      <c r="A169" t="s">
        <v>2854</v>
      </c>
      <c r="B169" s="57">
        <v>0.12</v>
      </c>
      <c r="C169">
        <v>5</v>
      </c>
      <c r="D169" t="s">
        <v>3276</v>
      </c>
    </row>
    <row r="170" spans="1:6" x14ac:dyDescent="0.3">
      <c r="A170" t="s">
        <v>2867</v>
      </c>
      <c r="B170" s="57">
        <v>0.1</v>
      </c>
      <c r="C170">
        <v>4</v>
      </c>
      <c r="D170" t="s">
        <v>3277</v>
      </c>
    </row>
    <row r="171" spans="1:6" x14ac:dyDescent="0.3">
      <c r="A171" t="s">
        <v>2730</v>
      </c>
      <c r="B171" s="57">
        <v>0.1</v>
      </c>
      <c r="C171">
        <v>4</v>
      </c>
      <c r="D171" t="s">
        <v>3278</v>
      </c>
    </row>
    <row r="172" spans="1:6" x14ac:dyDescent="0.3">
      <c r="A172" t="s">
        <v>3279</v>
      </c>
      <c r="B172" s="57">
        <v>0.1</v>
      </c>
      <c r="C172">
        <v>4</v>
      </c>
      <c r="D172" t="s">
        <v>3280</v>
      </c>
    </row>
    <row r="173" spans="1:6" x14ac:dyDescent="0.3">
      <c r="A173" t="s">
        <v>2739</v>
      </c>
      <c r="B173" s="57">
        <v>0.1</v>
      </c>
      <c r="C173">
        <v>5</v>
      </c>
      <c r="D173" t="s">
        <v>3281</v>
      </c>
    </row>
    <row r="174" spans="1:6" x14ac:dyDescent="0.3">
      <c r="A174" t="s">
        <v>2922</v>
      </c>
      <c r="B174" s="57">
        <v>0.08</v>
      </c>
      <c r="C174">
        <v>4</v>
      </c>
      <c r="D174" t="s">
        <v>3282</v>
      </c>
    </row>
    <row r="175" spans="1:6" x14ac:dyDescent="0.3">
      <c r="A175" t="s">
        <v>2779</v>
      </c>
      <c r="B175" s="57">
        <v>0.08</v>
      </c>
      <c r="C175">
        <v>5</v>
      </c>
      <c r="D175" t="s">
        <v>3283</v>
      </c>
    </row>
    <row r="176" spans="1:6" x14ac:dyDescent="0.3">
      <c r="A176" t="s">
        <v>2948</v>
      </c>
      <c r="B176" s="57">
        <v>0.06</v>
      </c>
      <c r="C176">
        <v>4</v>
      </c>
      <c r="D176" t="s">
        <v>3284</v>
      </c>
    </row>
    <row r="177" spans="1:6" x14ac:dyDescent="0.3">
      <c r="A177" s="1" t="s">
        <v>2744</v>
      </c>
      <c r="B177" s="79">
        <v>1</v>
      </c>
      <c r="C177" s="1">
        <v>46</v>
      </c>
      <c r="D177" s="1" t="s">
        <v>3285</v>
      </c>
      <c r="E177" s="1"/>
      <c r="F177" s="1"/>
    </row>
    <row r="179" spans="1:6" ht="15.6" x14ac:dyDescent="0.3">
      <c r="A179" s="162" t="s">
        <v>3286</v>
      </c>
    </row>
    <row r="180" spans="1:6" x14ac:dyDescent="0.3">
      <c r="A180" s="163" t="s">
        <v>487</v>
      </c>
      <c r="B180" s="163" t="s">
        <v>488</v>
      </c>
      <c r="C180" s="163" t="s">
        <v>490</v>
      </c>
      <c r="D180" s="163" t="s">
        <v>3287</v>
      </c>
      <c r="E180" s="163" t="s">
        <v>3288</v>
      </c>
      <c r="F180" s="163"/>
    </row>
    <row r="181" spans="1:6" x14ac:dyDescent="0.3">
      <c r="A181" t="s">
        <v>3289</v>
      </c>
      <c r="B181" t="s">
        <v>3290</v>
      </c>
      <c r="C181" t="s">
        <v>3228</v>
      </c>
      <c r="D181" t="s">
        <v>3291</v>
      </c>
      <c r="E181" t="s">
        <v>128</v>
      </c>
    </row>
    <row r="182" spans="1:6" x14ac:dyDescent="0.3">
      <c r="A182" t="s">
        <v>3292</v>
      </c>
      <c r="B182" t="s">
        <v>503</v>
      </c>
      <c r="C182" t="s">
        <v>3228</v>
      </c>
      <c r="D182" t="s">
        <v>3291</v>
      </c>
      <c r="E182" t="s">
        <v>127</v>
      </c>
    </row>
    <row r="183" spans="1:6" x14ac:dyDescent="0.3">
      <c r="A183" t="s">
        <v>3293</v>
      </c>
      <c r="B183" t="s">
        <v>390</v>
      </c>
      <c r="C183" t="s">
        <v>3228</v>
      </c>
      <c r="D183" t="s">
        <v>3294</v>
      </c>
      <c r="E183" t="s">
        <v>128</v>
      </c>
    </row>
    <row r="184" spans="1:6" x14ac:dyDescent="0.3">
      <c r="A184" t="s">
        <v>3295</v>
      </c>
      <c r="B184" t="s">
        <v>3296</v>
      </c>
      <c r="C184" t="s">
        <v>3228</v>
      </c>
      <c r="D184" t="s">
        <v>3297</v>
      </c>
      <c r="E184" t="s">
        <v>2171</v>
      </c>
    </row>
    <row r="185" spans="1:6" x14ac:dyDescent="0.3">
      <c r="A185" t="s">
        <v>3298</v>
      </c>
      <c r="B185" t="s">
        <v>390</v>
      </c>
      <c r="C185" t="s">
        <v>3228</v>
      </c>
      <c r="D185" t="s">
        <v>3297</v>
      </c>
      <c r="E185" t="s">
        <v>127</v>
      </c>
    </row>
    <row r="186" spans="1:6" x14ac:dyDescent="0.3">
      <c r="A186" t="s">
        <v>3299</v>
      </c>
      <c r="B186" t="s">
        <v>3300</v>
      </c>
      <c r="C186" t="s">
        <v>3228</v>
      </c>
      <c r="D186" t="s">
        <v>3297</v>
      </c>
      <c r="E186" t="s">
        <v>128</v>
      </c>
    </row>
    <row r="187" spans="1:6" x14ac:dyDescent="0.3">
      <c r="A187" t="s">
        <v>3301</v>
      </c>
      <c r="B187" t="s">
        <v>390</v>
      </c>
      <c r="C187" t="s">
        <v>3228</v>
      </c>
      <c r="D187" t="s">
        <v>3291</v>
      </c>
      <c r="E187" t="s">
        <v>127</v>
      </c>
    </row>
    <row r="188" spans="1:6" x14ac:dyDescent="0.3">
      <c r="A188" t="s">
        <v>2867</v>
      </c>
      <c r="B188" t="s">
        <v>3302</v>
      </c>
      <c r="C188" t="s">
        <v>3228</v>
      </c>
      <c r="D188" t="s">
        <v>3297</v>
      </c>
      <c r="E188" t="s">
        <v>128</v>
      </c>
    </row>
    <row r="190" spans="1:6" ht="15.6" x14ac:dyDescent="0.3">
      <c r="A190" s="162" t="s">
        <v>3303</v>
      </c>
    </row>
    <row r="191" spans="1:6" x14ac:dyDescent="0.3">
      <c r="A191" s="163" t="s">
        <v>383</v>
      </c>
      <c r="B191" s="163" t="s">
        <v>3099</v>
      </c>
      <c r="C191" s="163" t="s">
        <v>3304</v>
      </c>
      <c r="D191" s="163" t="s">
        <v>1919</v>
      </c>
      <c r="E191" s="163"/>
      <c r="F191" s="163"/>
    </row>
    <row r="192" spans="1:6" x14ac:dyDescent="0.3">
      <c r="A192" t="s">
        <v>3305</v>
      </c>
      <c r="B192" t="s">
        <v>3306</v>
      </c>
      <c r="C192" t="s">
        <v>3307</v>
      </c>
      <c r="D192" t="s">
        <v>3308</v>
      </c>
    </row>
    <row r="193" spans="1:6" x14ac:dyDescent="0.3">
      <c r="A193" t="s">
        <v>3309</v>
      </c>
      <c r="B193" t="s">
        <v>3310</v>
      </c>
      <c r="C193" t="s">
        <v>122</v>
      </c>
      <c r="D193" t="s">
        <v>3311</v>
      </c>
    </row>
    <row r="194" spans="1:6" x14ac:dyDescent="0.3">
      <c r="A194" t="s">
        <v>3312</v>
      </c>
      <c r="B194" t="s">
        <v>3313</v>
      </c>
      <c r="C194" t="s">
        <v>3314</v>
      </c>
      <c r="D194" t="s">
        <v>3315</v>
      </c>
    </row>
    <row r="195" spans="1:6" x14ac:dyDescent="0.3">
      <c r="A195" t="s">
        <v>3316</v>
      </c>
      <c r="B195" t="s">
        <v>3317</v>
      </c>
      <c r="C195" t="s">
        <v>3318</v>
      </c>
      <c r="D195" t="s">
        <v>3319</v>
      </c>
    </row>
    <row r="196" spans="1:6" x14ac:dyDescent="0.3">
      <c r="A196" t="s">
        <v>3320</v>
      </c>
      <c r="B196" t="s">
        <v>3321</v>
      </c>
      <c r="C196" t="s">
        <v>3322</v>
      </c>
      <c r="D196" t="s">
        <v>3323</v>
      </c>
    </row>
    <row r="197" spans="1:6" x14ac:dyDescent="0.3">
      <c r="A197" t="s">
        <v>3324</v>
      </c>
      <c r="B197" t="s">
        <v>3325</v>
      </c>
      <c r="C197" t="s">
        <v>3197</v>
      </c>
      <c r="D197" t="s">
        <v>3326</v>
      </c>
    </row>
    <row r="198" spans="1:6" x14ac:dyDescent="0.3">
      <c r="A198" t="s">
        <v>3327</v>
      </c>
      <c r="B198" t="s">
        <v>3328</v>
      </c>
      <c r="C198" t="s">
        <v>3329</v>
      </c>
      <c r="D198" t="s">
        <v>3330</v>
      </c>
    </row>
    <row r="200" spans="1:6" ht="15.6" x14ac:dyDescent="0.3">
      <c r="A200" s="162" t="s">
        <v>3331</v>
      </c>
    </row>
    <row r="201" spans="1:6" x14ac:dyDescent="0.3">
      <c r="A201" s="163" t="s">
        <v>3050</v>
      </c>
      <c r="B201" s="163" t="s">
        <v>3332</v>
      </c>
      <c r="C201" s="163" t="s">
        <v>3333</v>
      </c>
      <c r="D201" s="163" t="s">
        <v>1919</v>
      </c>
      <c r="E201" s="163"/>
      <c r="F201" s="163"/>
    </row>
    <row r="202" spans="1:6" x14ac:dyDescent="0.3">
      <c r="A202" t="s">
        <v>2512</v>
      </c>
      <c r="B202">
        <v>1</v>
      </c>
      <c r="C202" t="s">
        <v>3334</v>
      </c>
      <c r="D202" t="s">
        <v>3335</v>
      </c>
    </row>
    <row r="203" spans="1:6" x14ac:dyDescent="0.3">
      <c r="A203" t="s">
        <v>2514</v>
      </c>
      <c r="B203">
        <v>2</v>
      </c>
      <c r="C203" t="s">
        <v>3336</v>
      </c>
      <c r="D203" t="s">
        <v>3337</v>
      </c>
    </row>
    <row r="204" spans="1:6" x14ac:dyDescent="0.3">
      <c r="A204" t="s">
        <v>2516</v>
      </c>
      <c r="B204">
        <v>3</v>
      </c>
      <c r="C204" t="s">
        <v>3338</v>
      </c>
      <c r="D204" t="s">
        <v>3339</v>
      </c>
    </row>
    <row r="205" spans="1:6" x14ac:dyDescent="0.3">
      <c r="A205" t="s">
        <v>2518</v>
      </c>
      <c r="B205">
        <v>4</v>
      </c>
      <c r="C205" t="s">
        <v>3340</v>
      </c>
      <c r="D205" t="s">
        <v>3341</v>
      </c>
    </row>
    <row r="206" spans="1:6" x14ac:dyDescent="0.3">
      <c r="A206" t="s">
        <v>2520</v>
      </c>
      <c r="B206">
        <v>5</v>
      </c>
      <c r="C206" t="s">
        <v>3342</v>
      </c>
      <c r="D206" t="s">
        <v>3343</v>
      </c>
    </row>
    <row r="208" spans="1:6" ht="15.6" x14ac:dyDescent="0.3">
      <c r="A208" s="162" t="s">
        <v>3344</v>
      </c>
    </row>
    <row r="209" spans="1:6" x14ac:dyDescent="0.3">
      <c r="A209" s="163" t="s">
        <v>3050</v>
      </c>
      <c r="B209" s="163" t="s">
        <v>3332</v>
      </c>
      <c r="C209" s="163" t="s">
        <v>3345</v>
      </c>
      <c r="D209" s="163" t="s">
        <v>1919</v>
      </c>
      <c r="E209" s="163"/>
      <c r="F209" s="163"/>
    </row>
    <row r="210" spans="1:6" x14ac:dyDescent="0.3">
      <c r="A210" t="s">
        <v>2523</v>
      </c>
      <c r="B210">
        <v>1</v>
      </c>
      <c r="C210" t="s">
        <v>3346</v>
      </c>
      <c r="D210" t="s">
        <v>3347</v>
      </c>
    </row>
    <row r="211" spans="1:6" x14ac:dyDescent="0.3">
      <c r="A211" t="s">
        <v>2525</v>
      </c>
      <c r="B211">
        <v>2</v>
      </c>
      <c r="C211" t="s">
        <v>3348</v>
      </c>
      <c r="D211" t="s">
        <v>3349</v>
      </c>
    </row>
    <row r="212" spans="1:6" x14ac:dyDescent="0.3">
      <c r="A212" t="s">
        <v>2527</v>
      </c>
      <c r="B212">
        <v>3</v>
      </c>
      <c r="C212" t="s">
        <v>3350</v>
      </c>
      <c r="D212" t="s">
        <v>3351</v>
      </c>
    </row>
    <row r="213" spans="1:6" x14ac:dyDescent="0.3">
      <c r="A213" t="s">
        <v>2529</v>
      </c>
      <c r="B213">
        <v>4</v>
      </c>
      <c r="C213" t="s">
        <v>3352</v>
      </c>
      <c r="D213" t="s">
        <v>3353</v>
      </c>
    </row>
    <row r="214" spans="1:6" x14ac:dyDescent="0.3">
      <c r="A214" t="s">
        <v>3354</v>
      </c>
      <c r="B214">
        <v>5</v>
      </c>
      <c r="C214" t="s">
        <v>3355</v>
      </c>
      <c r="D214" t="s">
        <v>3356</v>
      </c>
    </row>
    <row r="216" spans="1:6" ht="15.6" x14ac:dyDescent="0.3">
      <c r="A216" s="162" t="s">
        <v>3357</v>
      </c>
    </row>
    <row r="217" spans="1:6" x14ac:dyDescent="0.3">
      <c r="A217" s="163" t="s">
        <v>2708</v>
      </c>
      <c r="B217" s="163" t="s">
        <v>3358</v>
      </c>
      <c r="C217" s="163" t="s">
        <v>3359</v>
      </c>
      <c r="D217" s="163" t="s">
        <v>3360</v>
      </c>
      <c r="E217" s="163"/>
      <c r="F217" s="163"/>
    </row>
    <row r="218" spans="1:6" x14ac:dyDescent="0.3">
      <c r="A218" t="s">
        <v>389</v>
      </c>
      <c r="B218" t="s">
        <v>3361</v>
      </c>
      <c r="C218" t="s">
        <v>3362</v>
      </c>
      <c r="D218" t="s">
        <v>3363</v>
      </c>
    </row>
    <row r="219" spans="1:6" x14ac:dyDescent="0.3">
      <c r="A219" t="s">
        <v>3364</v>
      </c>
      <c r="B219" t="s">
        <v>3361</v>
      </c>
      <c r="C219" t="s">
        <v>3362</v>
      </c>
      <c r="D219" t="s">
        <v>3365</v>
      </c>
    </row>
    <row r="220" spans="1:6" x14ac:dyDescent="0.3">
      <c r="A220" t="s">
        <v>3366</v>
      </c>
      <c r="B220" t="s">
        <v>3361</v>
      </c>
      <c r="C220" t="s">
        <v>128</v>
      </c>
      <c r="D220" t="s">
        <v>3367</v>
      </c>
    </row>
    <row r="221" spans="1:6" x14ac:dyDescent="0.3">
      <c r="A221" t="s">
        <v>3368</v>
      </c>
      <c r="B221" t="s">
        <v>3369</v>
      </c>
      <c r="C221" t="s">
        <v>128</v>
      </c>
      <c r="D221" t="s">
        <v>3370</v>
      </c>
    </row>
    <row r="222" spans="1:6" x14ac:dyDescent="0.3">
      <c r="A222" t="s">
        <v>3371</v>
      </c>
      <c r="B222" t="s">
        <v>3369</v>
      </c>
      <c r="C222" t="s">
        <v>127</v>
      </c>
      <c r="D222" t="s">
        <v>3372</v>
      </c>
    </row>
    <row r="223" spans="1:6" x14ac:dyDescent="0.3">
      <c r="A223" t="s">
        <v>3373</v>
      </c>
      <c r="B223" t="s">
        <v>3369</v>
      </c>
      <c r="C223" t="s">
        <v>128</v>
      </c>
      <c r="D223" t="s">
        <v>3374</v>
      </c>
    </row>
    <row r="224" spans="1:6" x14ac:dyDescent="0.3">
      <c r="A224" t="s">
        <v>3375</v>
      </c>
      <c r="B224" t="s">
        <v>3376</v>
      </c>
      <c r="C224" t="s">
        <v>127</v>
      </c>
      <c r="D224" t="s">
        <v>3377</v>
      </c>
    </row>
    <row r="225" spans="1:6" x14ac:dyDescent="0.3">
      <c r="A225" t="s">
        <v>3378</v>
      </c>
      <c r="B225" t="s">
        <v>3376</v>
      </c>
      <c r="C225" t="s">
        <v>118</v>
      </c>
      <c r="D225" t="s">
        <v>3379</v>
      </c>
    </row>
    <row r="226" spans="1:6" x14ac:dyDescent="0.3">
      <c r="A226" t="s">
        <v>3380</v>
      </c>
      <c r="B226" t="s">
        <v>3376</v>
      </c>
      <c r="C226" t="s">
        <v>118</v>
      </c>
      <c r="D226" t="s">
        <v>3381</v>
      </c>
    </row>
    <row r="228" spans="1:6" ht="15.6" x14ac:dyDescent="0.3">
      <c r="A228" s="162" t="s">
        <v>3382</v>
      </c>
    </row>
    <row r="229" spans="1:6" x14ac:dyDescent="0.3">
      <c r="A229" s="163" t="s">
        <v>383</v>
      </c>
      <c r="B229" s="163" t="s">
        <v>3383</v>
      </c>
      <c r="C229" s="163" t="s">
        <v>3384</v>
      </c>
      <c r="D229" s="163" t="s">
        <v>3385</v>
      </c>
      <c r="E229" s="163"/>
      <c r="F229" s="163"/>
    </row>
    <row r="230" spans="1:6" x14ac:dyDescent="0.3">
      <c r="A230" t="s">
        <v>3386</v>
      </c>
      <c r="B230" t="s">
        <v>3387</v>
      </c>
      <c r="C230" t="s">
        <v>3388</v>
      </c>
      <c r="D230" t="s">
        <v>3389</v>
      </c>
    </row>
    <row r="231" spans="1:6" x14ac:dyDescent="0.3">
      <c r="A231" t="s">
        <v>3390</v>
      </c>
      <c r="B231" t="s">
        <v>3391</v>
      </c>
      <c r="C231" t="s">
        <v>3392</v>
      </c>
      <c r="D231" t="s">
        <v>3389</v>
      </c>
    </row>
    <row r="232" spans="1:6" x14ac:dyDescent="0.3">
      <c r="A232" t="s">
        <v>3393</v>
      </c>
      <c r="B232" t="s">
        <v>3394</v>
      </c>
      <c r="C232" t="s">
        <v>3395</v>
      </c>
      <c r="D232" t="s">
        <v>3396</v>
      </c>
    </row>
    <row r="233" spans="1:6" x14ac:dyDescent="0.3">
      <c r="A233" t="s">
        <v>3397</v>
      </c>
      <c r="B233" t="s">
        <v>3398</v>
      </c>
      <c r="C233" t="s">
        <v>3399</v>
      </c>
      <c r="D233" t="s">
        <v>3400</v>
      </c>
    </row>
    <row r="234" spans="1:6" x14ac:dyDescent="0.3">
      <c r="A234" t="s">
        <v>3401</v>
      </c>
      <c r="B234" t="s">
        <v>3402</v>
      </c>
      <c r="C234" t="s">
        <v>3403</v>
      </c>
      <c r="D234" t="s">
        <v>3404</v>
      </c>
    </row>
    <row r="235" spans="1:6" x14ac:dyDescent="0.3">
      <c r="A235" t="s">
        <v>3405</v>
      </c>
      <c r="B235" t="s">
        <v>3406</v>
      </c>
      <c r="C235" t="s">
        <v>3395</v>
      </c>
      <c r="D235" t="s">
        <v>3389</v>
      </c>
    </row>
    <row r="236" spans="1:6" x14ac:dyDescent="0.3">
      <c r="A236" t="s">
        <v>3407</v>
      </c>
      <c r="B236" t="s">
        <v>3408</v>
      </c>
      <c r="C236" t="s">
        <v>3409</v>
      </c>
      <c r="D236" t="s">
        <v>3410</v>
      </c>
    </row>
    <row r="238" spans="1:6" ht="15.6" x14ac:dyDescent="0.3">
      <c r="A238" s="162" t="s">
        <v>3411</v>
      </c>
    </row>
    <row r="239" spans="1:6" x14ac:dyDescent="0.3">
      <c r="A239" s="163" t="s">
        <v>3412</v>
      </c>
      <c r="B239" s="163" t="s">
        <v>487</v>
      </c>
      <c r="C239" s="163" t="s">
        <v>3413</v>
      </c>
      <c r="D239" s="163" t="s">
        <v>3414</v>
      </c>
      <c r="E239" s="163" t="s">
        <v>3415</v>
      </c>
      <c r="F239" s="163"/>
    </row>
    <row r="240" spans="1:6" x14ac:dyDescent="0.3">
      <c r="A240" t="s">
        <v>3416</v>
      </c>
      <c r="B240" t="s">
        <v>3080</v>
      </c>
      <c r="C240" t="s">
        <v>3417</v>
      </c>
      <c r="D240" t="s">
        <v>3418</v>
      </c>
      <c r="E240" t="s">
        <v>3234</v>
      </c>
    </row>
    <row r="241" spans="1:6" x14ac:dyDescent="0.3">
      <c r="A241" t="s">
        <v>3419</v>
      </c>
      <c r="B241" t="s">
        <v>3083</v>
      </c>
      <c r="C241" t="s">
        <v>3420</v>
      </c>
      <c r="D241" t="s">
        <v>3421</v>
      </c>
      <c r="E241" t="s">
        <v>622</v>
      </c>
    </row>
    <row r="242" spans="1:6" x14ac:dyDescent="0.3">
      <c r="A242" t="s">
        <v>3422</v>
      </c>
      <c r="B242" t="s">
        <v>3083</v>
      </c>
      <c r="C242" t="s">
        <v>3423</v>
      </c>
      <c r="D242" t="s">
        <v>3424</v>
      </c>
      <c r="E242" t="s">
        <v>982</v>
      </c>
    </row>
    <row r="243" spans="1:6" x14ac:dyDescent="0.3">
      <c r="A243" t="s">
        <v>3425</v>
      </c>
      <c r="B243" t="s">
        <v>3426</v>
      </c>
      <c r="C243" t="s">
        <v>3427</v>
      </c>
      <c r="D243" t="s">
        <v>3428</v>
      </c>
      <c r="E243" t="s">
        <v>3429</v>
      </c>
    </row>
    <row r="244" spans="1:6" x14ac:dyDescent="0.3">
      <c r="A244" t="s">
        <v>3430</v>
      </c>
      <c r="B244" t="s">
        <v>3083</v>
      </c>
      <c r="C244" t="s">
        <v>3431</v>
      </c>
      <c r="D244" t="s">
        <v>3432</v>
      </c>
      <c r="E244" t="s">
        <v>2862</v>
      </c>
    </row>
    <row r="245" spans="1:6" x14ac:dyDescent="0.3">
      <c r="A245" t="s">
        <v>29</v>
      </c>
      <c r="B245" t="s">
        <v>29</v>
      </c>
      <c r="C245" t="s">
        <v>3427</v>
      </c>
      <c r="D245" t="s">
        <v>3433</v>
      </c>
      <c r="E245" t="s">
        <v>3179</v>
      </c>
    </row>
    <row r="246" spans="1:6" x14ac:dyDescent="0.3">
      <c r="A246" t="s">
        <v>3434</v>
      </c>
      <c r="B246" t="s">
        <v>3085</v>
      </c>
      <c r="C246" t="s">
        <v>3435</v>
      </c>
      <c r="D246" t="s">
        <v>3436</v>
      </c>
      <c r="E246" t="s">
        <v>1057</v>
      </c>
    </row>
    <row r="247" spans="1:6" x14ac:dyDescent="0.3">
      <c r="A247" t="s">
        <v>3437</v>
      </c>
      <c r="B247" t="s">
        <v>3329</v>
      </c>
      <c r="C247" t="s">
        <v>3438</v>
      </c>
      <c r="D247" t="s">
        <v>3439</v>
      </c>
      <c r="E247" t="s">
        <v>3182</v>
      </c>
    </row>
    <row r="249" spans="1:6" ht="15.6" x14ac:dyDescent="0.3">
      <c r="A249" s="162" t="s">
        <v>3440</v>
      </c>
    </row>
    <row r="250" spans="1:6" x14ac:dyDescent="0.3">
      <c r="A250" s="163" t="s">
        <v>3441</v>
      </c>
      <c r="B250" s="163" t="s">
        <v>2065</v>
      </c>
      <c r="C250" s="163" t="s">
        <v>3442</v>
      </c>
      <c r="D250" s="163" t="s">
        <v>3250</v>
      </c>
      <c r="E250" s="163" t="s">
        <v>3443</v>
      </c>
      <c r="F250" s="163"/>
    </row>
    <row r="251" spans="1:6" x14ac:dyDescent="0.3">
      <c r="A251" t="s">
        <v>496</v>
      </c>
      <c r="B251" t="s">
        <v>3444</v>
      </c>
      <c r="C251" t="s">
        <v>3445</v>
      </c>
      <c r="D251" t="s">
        <v>3115</v>
      </c>
      <c r="E251" t="s">
        <v>3446</v>
      </c>
    </row>
    <row r="252" spans="1:6" x14ac:dyDescent="0.3">
      <c r="A252" t="s">
        <v>3447</v>
      </c>
      <c r="B252" t="s">
        <v>3448</v>
      </c>
      <c r="C252" t="s">
        <v>3449</v>
      </c>
      <c r="D252" t="s">
        <v>3450</v>
      </c>
      <c r="E252" t="s">
        <v>3451</v>
      </c>
    </row>
    <row r="253" spans="1:6" x14ac:dyDescent="0.3">
      <c r="A253" t="s">
        <v>3452</v>
      </c>
      <c r="B253" t="s">
        <v>3453</v>
      </c>
      <c r="C253" t="s">
        <v>3454</v>
      </c>
      <c r="D253" t="s">
        <v>3455</v>
      </c>
      <c r="E253" t="s">
        <v>3456</v>
      </c>
    </row>
    <row r="254" spans="1:6" x14ac:dyDescent="0.3">
      <c r="A254" t="s">
        <v>3457</v>
      </c>
      <c r="B254" t="s">
        <v>3458</v>
      </c>
      <c r="C254" t="s">
        <v>3445</v>
      </c>
      <c r="D254" t="s">
        <v>3115</v>
      </c>
      <c r="E254" t="s">
        <v>3459</v>
      </c>
    </row>
    <row r="255" spans="1:6" x14ac:dyDescent="0.3">
      <c r="A255" t="s">
        <v>2565</v>
      </c>
      <c r="B255" t="s">
        <v>3460</v>
      </c>
      <c r="C255" t="s">
        <v>3461</v>
      </c>
      <c r="D255" t="s">
        <v>3197</v>
      </c>
      <c r="E255" t="s">
        <v>3462</v>
      </c>
    </row>
    <row r="256" spans="1:6" x14ac:dyDescent="0.3">
      <c r="A256" t="s">
        <v>2559</v>
      </c>
      <c r="B256" t="s">
        <v>2092</v>
      </c>
      <c r="C256" t="s">
        <v>3463</v>
      </c>
      <c r="D256" t="s">
        <v>3115</v>
      </c>
      <c r="E256" t="s">
        <v>3464</v>
      </c>
    </row>
    <row r="257" spans="1:6" x14ac:dyDescent="0.3">
      <c r="A257" t="s">
        <v>3465</v>
      </c>
      <c r="B257" t="s">
        <v>3448</v>
      </c>
      <c r="C257" t="s">
        <v>3466</v>
      </c>
      <c r="D257" t="s">
        <v>3467</v>
      </c>
      <c r="E257" t="s">
        <v>3468</v>
      </c>
    </row>
    <row r="259" spans="1:6" ht="15.6" x14ac:dyDescent="0.3">
      <c r="A259" s="162" t="s">
        <v>3469</v>
      </c>
    </row>
    <row r="260" spans="1:6" x14ac:dyDescent="0.3">
      <c r="A260" s="163" t="s">
        <v>1799</v>
      </c>
      <c r="B260" s="163" t="s">
        <v>3470</v>
      </c>
      <c r="C260" s="163" t="s">
        <v>3471</v>
      </c>
      <c r="D260" s="163" t="s">
        <v>2171</v>
      </c>
      <c r="E260" s="163" t="s">
        <v>3472</v>
      </c>
      <c r="F260" s="163"/>
    </row>
    <row r="261" spans="1:6" x14ac:dyDescent="0.3">
      <c r="A261" t="s">
        <v>3473</v>
      </c>
      <c r="B261" t="s">
        <v>3474</v>
      </c>
      <c r="C261" t="s">
        <v>3475</v>
      </c>
      <c r="D261" t="s">
        <v>3476</v>
      </c>
      <c r="E261" t="s">
        <v>3477</v>
      </c>
    </row>
    <row r="262" spans="1:6" x14ac:dyDescent="0.3">
      <c r="A262" t="s">
        <v>3478</v>
      </c>
      <c r="B262" t="s">
        <v>3479</v>
      </c>
      <c r="C262" t="s">
        <v>3480</v>
      </c>
      <c r="D262" t="s">
        <v>3481</v>
      </c>
      <c r="E262" t="s">
        <v>3482</v>
      </c>
    </row>
    <row r="263" spans="1:6" x14ac:dyDescent="0.3">
      <c r="A263" t="s">
        <v>3483</v>
      </c>
      <c r="B263" t="s">
        <v>3334</v>
      </c>
      <c r="C263" t="s">
        <v>3484</v>
      </c>
      <c r="D263" t="s">
        <v>3485</v>
      </c>
      <c r="E263" t="s">
        <v>3477</v>
      </c>
    </row>
    <row r="264" spans="1:6" x14ac:dyDescent="0.3">
      <c r="A264" t="s">
        <v>3486</v>
      </c>
      <c r="B264" t="s">
        <v>3487</v>
      </c>
      <c r="C264" t="s">
        <v>3488</v>
      </c>
      <c r="D264" t="s">
        <v>3489</v>
      </c>
      <c r="E264" t="s">
        <v>3482</v>
      </c>
    </row>
    <row r="265" spans="1:6" x14ac:dyDescent="0.3">
      <c r="A265" t="s">
        <v>3490</v>
      </c>
      <c r="B265" t="s">
        <v>3491</v>
      </c>
      <c r="C265" t="s">
        <v>3492</v>
      </c>
      <c r="D265" t="s">
        <v>3493</v>
      </c>
      <c r="E265" t="s">
        <v>3494</v>
      </c>
    </row>
    <row r="266" spans="1:6" x14ac:dyDescent="0.3">
      <c r="A266" t="s">
        <v>3495</v>
      </c>
      <c r="B266" t="s">
        <v>3496</v>
      </c>
      <c r="C266" t="s">
        <v>3497</v>
      </c>
      <c r="D266" t="s">
        <v>3493</v>
      </c>
      <c r="E266" t="s">
        <v>3482</v>
      </c>
    </row>
    <row r="267" spans="1:6" x14ac:dyDescent="0.3">
      <c r="A267" t="s">
        <v>3498</v>
      </c>
      <c r="B267" t="s">
        <v>2780</v>
      </c>
      <c r="C267" t="s">
        <v>3499</v>
      </c>
      <c r="D267" t="s">
        <v>3500</v>
      </c>
      <c r="E267" t="s">
        <v>3482</v>
      </c>
    </row>
    <row r="268" spans="1:6" x14ac:dyDescent="0.3">
      <c r="A268" t="s">
        <v>3501</v>
      </c>
      <c r="B268" t="s">
        <v>3502</v>
      </c>
      <c r="C268" t="s">
        <v>3503</v>
      </c>
      <c r="D268" t="s">
        <v>3504</v>
      </c>
      <c r="E268" t="s">
        <v>3505</v>
      </c>
    </row>
    <row r="269" spans="1:6" x14ac:dyDescent="0.3">
      <c r="A269" t="s">
        <v>3008</v>
      </c>
      <c r="B269" s="57">
        <v>1</v>
      </c>
      <c r="C269" t="s">
        <v>3506</v>
      </c>
      <c r="D269" t="s">
        <v>3493</v>
      </c>
      <c r="E269" t="s">
        <v>3482</v>
      </c>
    </row>
    <row r="270" spans="1:6" x14ac:dyDescent="0.3">
      <c r="A270" t="s">
        <v>3507</v>
      </c>
      <c r="B270" t="s">
        <v>3508</v>
      </c>
      <c r="C270" t="s">
        <v>3509</v>
      </c>
      <c r="D270" t="s">
        <v>3510</v>
      </c>
      <c r="E270" t="s">
        <v>3511</v>
      </c>
    </row>
  </sheetData>
  <mergeCells count="2">
    <mergeCell ref="A1:F1"/>
    <mergeCell ref="A2:F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C8913E-794E-4566-9B2D-35074B185AE4}">
  <dimension ref="A1:F505"/>
  <sheetViews>
    <sheetView zoomScale="85" zoomScaleNormal="85" workbookViewId="0">
      <pane ySplit="1" topLeftCell="A242" activePane="bottomLeft" state="frozen"/>
      <selection pane="bottomLeft" activeCell="H49" sqref="H49"/>
    </sheetView>
  </sheetViews>
  <sheetFormatPr defaultRowHeight="14.4" x14ac:dyDescent="0.3"/>
  <cols>
    <col min="1" max="1" width="12.5546875" bestFit="1" customWidth="1"/>
    <col min="2" max="2" width="31.33203125" bestFit="1" customWidth="1"/>
    <col min="3" max="3" width="8.109375" bestFit="1" customWidth="1"/>
    <col min="4" max="4" width="15.77734375" bestFit="1" customWidth="1"/>
    <col min="5" max="5" width="15.5546875" bestFit="1" customWidth="1"/>
    <col min="6" max="6" width="24.44140625" bestFit="1" customWidth="1"/>
    <col min="12" max="12" width="9.6640625" bestFit="1" customWidth="1"/>
    <col min="13" max="13" width="36.5546875" bestFit="1" customWidth="1"/>
    <col min="14" max="14" width="12.5546875" bestFit="1" customWidth="1"/>
    <col min="15" max="15" width="29.88671875" bestFit="1" customWidth="1"/>
    <col min="16" max="16" width="11.44140625" bestFit="1" customWidth="1"/>
    <col min="17" max="17" width="7.44140625" bestFit="1" customWidth="1"/>
    <col min="18" max="18" width="10.88671875" bestFit="1" customWidth="1"/>
    <col min="19" max="20" width="23.109375" bestFit="1" customWidth="1"/>
    <col min="21" max="21" width="15.6640625" bestFit="1" customWidth="1"/>
    <col min="22" max="22" width="15.44140625" bestFit="1" customWidth="1"/>
    <col min="23" max="23" width="9.44140625" bestFit="1" customWidth="1"/>
    <col min="24" max="24" width="12.44140625" bestFit="1" customWidth="1"/>
    <col min="25" max="25" width="52.6640625" bestFit="1" customWidth="1"/>
  </cols>
  <sheetData>
    <row r="1" spans="1:6" x14ac:dyDescent="0.3">
      <c r="A1" s="4" t="s">
        <v>1</v>
      </c>
      <c r="B1" s="4" t="s">
        <v>2</v>
      </c>
      <c r="C1" s="4" t="s">
        <v>3</v>
      </c>
      <c r="D1" s="4" t="s">
        <v>862</v>
      </c>
      <c r="E1" s="4" t="s">
        <v>622</v>
      </c>
      <c r="F1" s="4" t="s">
        <v>789</v>
      </c>
    </row>
    <row r="2" spans="1:6" x14ac:dyDescent="0.3">
      <c r="A2" s="5" t="s">
        <v>5</v>
      </c>
      <c r="B2" s="5" t="s">
        <v>13</v>
      </c>
      <c r="C2" s="5" t="s">
        <v>27</v>
      </c>
      <c r="D2" s="5" t="s">
        <v>623</v>
      </c>
      <c r="E2" s="5" t="s">
        <v>624</v>
      </c>
      <c r="F2" s="5" t="s">
        <v>790</v>
      </c>
    </row>
    <row r="3" spans="1:6" x14ac:dyDescent="0.3">
      <c r="A3" s="5"/>
      <c r="B3" s="5" t="s">
        <v>13</v>
      </c>
      <c r="C3" s="5" t="s">
        <v>28</v>
      </c>
      <c r="D3" s="5"/>
      <c r="E3" s="5"/>
      <c r="F3" s="5" t="s">
        <v>791</v>
      </c>
    </row>
    <row r="4" spans="1:6" x14ac:dyDescent="0.3">
      <c r="A4" s="5"/>
      <c r="B4" s="5" t="s">
        <v>13</v>
      </c>
      <c r="C4" s="5" t="s">
        <v>29</v>
      </c>
      <c r="D4" s="5"/>
      <c r="E4" s="5"/>
      <c r="F4" s="5" t="s">
        <v>792</v>
      </c>
    </row>
    <row r="5" spans="1:6" x14ac:dyDescent="0.3">
      <c r="A5" s="5"/>
      <c r="B5" s="5" t="s">
        <v>13</v>
      </c>
      <c r="C5" s="5" t="s">
        <v>30</v>
      </c>
      <c r="D5" s="5"/>
      <c r="E5" s="5"/>
      <c r="F5" s="5" t="s">
        <v>793</v>
      </c>
    </row>
    <row r="6" spans="1:6" x14ac:dyDescent="0.3">
      <c r="A6" s="5"/>
      <c r="B6" s="5" t="s">
        <v>13</v>
      </c>
      <c r="C6" s="5" t="s">
        <v>31</v>
      </c>
      <c r="D6" s="5"/>
      <c r="E6" s="5"/>
      <c r="F6" s="5" t="s">
        <v>794</v>
      </c>
    </row>
    <row r="7" spans="1:6" x14ac:dyDescent="0.3">
      <c r="A7" s="5"/>
      <c r="B7" s="5" t="s">
        <v>13</v>
      </c>
      <c r="C7" s="5" t="s">
        <v>32</v>
      </c>
      <c r="D7" s="5"/>
      <c r="E7" s="5"/>
      <c r="F7" s="5" t="s">
        <v>795</v>
      </c>
    </row>
    <row r="8" spans="1:6" x14ac:dyDescent="0.3">
      <c r="A8" s="5"/>
      <c r="B8" s="5" t="s">
        <v>14</v>
      </c>
      <c r="C8" s="5" t="s">
        <v>27</v>
      </c>
      <c r="D8" s="5" t="s">
        <v>625</v>
      </c>
      <c r="E8" s="5" t="s">
        <v>626</v>
      </c>
      <c r="F8" s="5" t="s">
        <v>796</v>
      </c>
    </row>
    <row r="9" spans="1:6" x14ac:dyDescent="0.3">
      <c r="A9" s="5"/>
      <c r="B9" s="5" t="s">
        <v>14</v>
      </c>
      <c r="C9" s="5" t="s">
        <v>28</v>
      </c>
      <c r="D9" s="5"/>
      <c r="E9" s="5"/>
      <c r="F9" s="5" t="s">
        <v>797</v>
      </c>
    </row>
    <row r="10" spans="1:6" x14ac:dyDescent="0.3">
      <c r="A10" s="5"/>
      <c r="B10" s="5" t="s">
        <v>14</v>
      </c>
      <c r="C10" s="5" t="s">
        <v>29</v>
      </c>
      <c r="D10" s="5"/>
      <c r="E10" s="5"/>
      <c r="F10" s="5" t="s">
        <v>798</v>
      </c>
    </row>
    <row r="11" spans="1:6" x14ac:dyDescent="0.3">
      <c r="A11" s="5"/>
      <c r="B11" s="5" t="s">
        <v>14</v>
      </c>
      <c r="C11" s="5" t="s">
        <v>30</v>
      </c>
      <c r="D11" s="5"/>
      <c r="E11" s="5"/>
      <c r="F11" s="5" t="s">
        <v>799</v>
      </c>
    </row>
    <row r="12" spans="1:6" x14ac:dyDescent="0.3">
      <c r="A12" s="5"/>
      <c r="B12" s="5" t="s">
        <v>14</v>
      </c>
      <c r="C12" s="5" t="s">
        <v>31</v>
      </c>
      <c r="D12" s="5"/>
      <c r="E12" s="5"/>
      <c r="F12" s="5" t="s">
        <v>800</v>
      </c>
    </row>
    <row r="13" spans="1:6" x14ac:dyDescent="0.3">
      <c r="A13" s="5"/>
      <c r="B13" s="5" t="s">
        <v>14</v>
      </c>
      <c r="C13" s="5" t="s">
        <v>32</v>
      </c>
      <c r="D13" s="5"/>
      <c r="E13" s="5"/>
      <c r="F13" s="5" t="s">
        <v>801</v>
      </c>
    </row>
    <row r="14" spans="1:6" x14ac:dyDescent="0.3">
      <c r="A14" s="5"/>
      <c r="B14" s="5" t="s">
        <v>15</v>
      </c>
      <c r="C14" s="5" t="s">
        <v>27</v>
      </c>
      <c r="D14" s="5" t="s">
        <v>627</v>
      </c>
      <c r="E14" s="5" t="s">
        <v>628</v>
      </c>
      <c r="F14" s="5" t="s">
        <v>802</v>
      </c>
    </row>
    <row r="15" spans="1:6" x14ac:dyDescent="0.3">
      <c r="A15" s="5"/>
      <c r="B15" s="5" t="s">
        <v>15</v>
      </c>
      <c r="C15" s="5" t="s">
        <v>28</v>
      </c>
      <c r="D15" s="5"/>
      <c r="E15" s="5"/>
      <c r="F15" s="5" t="s">
        <v>803</v>
      </c>
    </row>
    <row r="16" spans="1:6" x14ac:dyDescent="0.3">
      <c r="A16" s="5"/>
      <c r="B16" s="5" t="s">
        <v>15</v>
      </c>
      <c r="C16" s="5" t="s">
        <v>29</v>
      </c>
      <c r="D16" s="5"/>
      <c r="E16" s="5"/>
      <c r="F16" s="5" t="s">
        <v>804</v>
      </c>
    </row>
    <row r="17" spans="1:6" x14ac:dyDescent="0.3">
      <c r="A17" s="5"/>
      <c r="B17" s="5" t="s">
        <v>15</v>
      </c>
      <c r="C17" s="5" t="s">
        <v>30</v>
      </c>
      <c r="D17" s="5"/>
      <c r="E17" s="5"/>
      <c r="F17" s="5" t="s">
        <v>805</v>
      </c>
    </row>
    <row r="18" spans="1:6" x14ac:dyDescent="0.3">
      <c r="A18" s="5"/>
      <c r="B18" s="5" t="s">
        <v>15</v>
      </c>
      <c r="C18" s="5" t="s">
        <v>31</v>
      </c>
      <c r="D18" s="5"/>
      <c r="E18" s="5"/>
      <c r="F18" s="5" t="s">
        <v>806</v>
      </c>
    </row>
    <row r="19" spans="1:6" x14ac:dyDescent="0.3">
      <c r="A19" s="5"/>
      <c r="B19" s="5" t="s">
        <v>15</v>
      </c>
      <c r="C19" s="5" t="s">
        <v>32</v>
      </c>
      <c r="D19" s="5"/>
      <c r="E19" s="5"/>
      <c r="F19" s="5" t="s">
        <v>807</v>
      </c>
    </row>
    <row r="20" spans="1:6" x14ac:dyDescent="0.3">
      <c r="A20" s="5"/>
      <c r="B20" s="5" t="s">
        <v>16</v>
      </c>
      <c r="C20" s="5" t="s">
        <v>27</v>
      </c>
      <c r="D20" s="5" t="s">
        <v>629</v>
      </c>
      <c r="E20" s="5" t="s">
        <v>630</v>
      </c>
      <c r="F20" s="5" t="s">
        <v>808</v>
      </c>
    </row>
    <row r="21" spans="1:6" x14ac:dyDescent="0.3">
      <c r="A21" s="5"/>
      <c r="B21" s="5" t="s">
        <v>16</v>
      </c>
      <c r="C21" s="5" t="s">
        <v>28</v>
      </c>
      <c r="D21" s="5"/>
      <c r="E21" s="5"/>
      <c r="F21" s="5" t="s">
        <v>809</v>
      </c>
    </row>
    <row r="22" spans="1:6" x14ac:dyDescent="0.3">
      <c r="A22" s="5"/>
      <c r="B22" s="5" t="s">
        <v>16</v>
      </c>
      <c r="C22" s="5" t="s">
        <v>29</v>
      </c>
      <c r="D22" s="5"/>
      <c r="E22" s="5"/>
      <c r="F22" s="5" t="s">
        <v>810</v>
      </c>
    </row>
    <row r="23" spans="1:6" x14ac:dyDescent="0.3">
      <c r="A23" s="5"/>
      <c r="B23" s="5" t="s">
        <v>16</v>
      </c>
      <c r="C23" s="5" t="s">
        <v>30</v>
      </c>
      <c r="D23" s="5"/>
      <c r="E23" s="5"/>
      <c r="F23" s="5" t="s">
        <v>811</v>
      </c>
    </row>
    <row r="24" spans="1:6" x14ac:dyDescent="0.3">
      <c r="A24" s="5"/>
      <c r="B24" s="5" t="s">
        <v>16</v>
      </c>
      <c r="C24" s="5" t="s">
        <v>31</v>
      </c>
      <c r="D24" s="5"/>
      <c r="E24" s="5"/>
      <c r="F24" s="5" t="s">
        <v>812</v>
      </c>
    </row>
    <row r="25" spans="1:6" x14ac:dyDescent="0.3">
      <c r="A25" s="5"/>
      <c r="B25" s="5" t="s">
        <v>16</v>
      </c>
      <c r="C25" s="5" t="s">
        <v>32</v>
      </c>
      <c r="D25" s="5"/>
      <c r="E25" s="5"/>
      <c r="F25" s="5" t="s">
        <v>813</v>
      </c>
    </row>
    <row r="26" spans="1:6" x14ac:dyDescent="0.3">
      <c r="A26" s="5"/>
      <c r="B26" s="5" t="s">
        <v>17</v>
      </c>
      <c r="C26" s="5" t="s">
        <v>27</v>
      </c>
      <c r="D26" s="5" t="s">
        <v>631</v>
      </c>
      <c r="E26" s="5" t="s">
        <v>632</v>
      </c>
      <c r="F26" s="5" t="s">
        <v>814</v>
      </c>
    </row>
    <row r="27" spans="1:6" x14ac:dyDescent="0.3">
      <c r="A27" s="5"/>
      <c r="B27" s="5" t="s">
        <v>17</v>
      </c>
      <c r="C27" s="5" t="s">
        <v>28</v>
      </c>
      <c r="D27" s="5"/>
      <c r="E27" s="5"/>
      <c r="F27" s="5" t="s">
        <v>815</v>
      </c>
    </row>
    <row r="28" spans="1:6" x14ac:dyDescent="0.3">
      <c r="A28" s="5"/>
      <c r="B28" s="5" t="s">
        <v>17</v>
      </c>
      <c r="C28" s="5" t="s">
        <v>29</v>
      </c>
      <c r="D28" s="5"/>
      <c r="E28" s="5"/>
      <c r="F28" s="5" t="s">
        <v>816</v>
      </c>
    </row>
    <row r="29" spans="1:6" x14ac:dyDescent="0.3">
      <c r="A29" s="5"/>
      <c r="B29" s="5" t="s">
        <v>17</v>
      </c>
      <c r="C29" s="5" t="s">
        <v>30</v>
      </c>
      <c r="D29" s="5"/>
      <c r="E29" s="5"/>
      <c r="F29" s="5" t="s">
        <v>817</v>
      </c>
    </row>
    <row r="30" spans="1:6" x14ac:dyDescent="0.3">
      <c r="A30" s="5"/>
      <c r="B30" s="5" t="s">
        <v>17</v>
      </c>
      <c r="C30" s="5" t="s">
        <v>31</v>
      </c>
      <c r="D30" s="5"/>
      <c r="E30" s="5"/>
      <c r="F30" s="5" t="s">
        <v>818</v>
      </c>
    </row>
    <row r="31" spans="1:6" x14ac:dyDescent="0.3">
      <c r="A31" s="5"/>
      <c r="B31" s="5" t="s">
        <v>17</v>
      </c>
      <c r="C31" s="5" t="s">
        <v>32</v>
      </c>
      <c r="D31" s="5"/>
      <c r="E31" s="5"/>
      <c r="F31" s="5" t="s">
        <v>819</v>
      </c>
    </row>
    <row r="32" spans="1:6" x14ac:dyDescent="0.3">
      <c r="A32" s="5"/>
      <c r="B32" s="5" t="s">
        <v>18</v>
      </c>
      <c r="C32" s="5" t="s">
        <v>27</v>
      </c>
      <c r="D32" s="5" t="s">
        <v>633</v>
      </c>
      <c r="E32" s="5" t="s">
        <v>634</v>
      </c>
      <c r="F32" s="5" t="s">
        <v>820</v>
      </c>
    </row>
    <row r="33" spans="1:6" x14ac:dyDescent="0.3">
      <c r="A33" s="5"/>
      <c r="B33" s="5" t="s">
        <v>18</v>
      </c>
      <c r="C33" s="5" t="s">
        <v>28</v>
      </c>
      <c r="D33" s="5"/>
      <c r="E33" s="5"/>
      <c r="F33" s="5" t="s">
        <v>821</v>
      </c>
    </row>
    <row r="34" spans="1:6" x14ac:dyDescent="0.3">
      <c r="A34" s="5"/>
      <c r="B34" s="5" t="s">
        <v>18</v>
      </c>
      <c r="C34" s="5" t="s">
        <v>29</v>
      </c>
      <c r="D34" s="5"/>
      <c r="E34" s="5"/>
      <c r="F34" s="5" t="s">
        <v>822</v>
      </c>
    </row>
    <row r="35" spans="1:6" x14ac:dyDescent="0.3">
      <c r="A35" s="5"/>
      <c r="B35" s="5" t="s">
        <v>18</v>
      </c>
      <c r="C35" s="5" t="s">
        <v>30</v>
      </c>
      <c r="D35" s="5"/>
      <c r="E35" s="5"/>
      <c r="F35" s="5" t="s">
        <v>823</v>
      </c>
    </row>
    <row r="36" spans="1:6" x14ac:dyDescent="0.3">
      <c r="A36" s="5"/>
      <c r="B36" s="5" t="s">
        <v>18</v>
      </c>
      <c r="C36" s="5" t="s">
        <v>31</v>
      </c>
      <c r="D36" s="5"/>
      <c r="E36" s="5"/>
      <c r="F36" s="5" t="s">
        <v>824</v>
      </c>
    </row>
    <row r="37" spans="1:6" x14ac:dyDescent="0.3">
      <c r="A37" s="5"/>
      <c r="B37" s="5" t="s">
        <v>18</v>
      </c>
      <c r="C37" s="5" t="s">
        <v>32</v>
      </c>
      <c r="D37" s="5"/>
      <c r="E37" s="5"/>
      <c r="F37" s="5" t="s">
        <v>825</v>
      </c>
    </row>
    <row r="38" spans="1:6" x14ac:dyDescent="0.3">
      <c r="A38" s="5"/>
      <c r="B38" s="5" t="s">
        <v>19</v>
      </c>
      <c r="C38" s="5" t="s">
        <v>27</v>
      </c>
      <c r="D38" s="5" t="s">
        <v>635</v>
      </c>
      <c r="E38" s="5" t="s">
        <v>636</v>
      </c>
      <c r="F38" s="5" t="s">
        <v>826</v>
      </c>
    </row>
    <row r="39" spans="1:6" x14ac:dyDescent="0.3">
      <c r="A39" s="5"/>
      <c r="B39" s="5" t="s">
        <v>19</v>
      </c>
      <c r="C39" s="5" t="s">
        <v>28</v>
      </c>
      <c r="D39" s="5"/>
      <c r="E39" s="5"/>
      <c r="F39" s="5" t="s">
        <v>827</v>
      </c>
    </row>
    <row r="40" spans="1:6" x14ac:dyDescent="0.3">
      <c r="A40" s="5"/>
      <c r="B40" s="5" t="s">
        <v>19</v>
      </c>
      <c r="C40" s="5" t="s">
        <v>29</v>
      </c>
      <c r="D40" s="5"/>
      <c r="E40" s="5"/>
      <c r="F40" s="5" t="s">
        <v>828</v>
      </c>
    </row>
    <row r="41" spans="1:6" x14ac:dyDescent="0.3">
      <c r="A41" s="5"/>
      <c r="B41" s="5" t="s">
        <v>19</v>
      </c>
      <c r="C41" s="5" t="s">
        <v>30</v>
      </c>
      <c r="D41" s="5"/>
      <c r="E41" s="5"/>
      <c r="F41" s="5" t="s">
        <v>829</v>
      </c>
    </row>
    <row r="42" spans="1:6" x14ac:dyDescent="0.3">
      <c r="A42" s="5"/>
      <c r="B42" s="5" t="s">
        <v>19</v>
      </c>
      <c r="C42" s="5" t="s">
        <v>31</v>
      </c>
      <c r="D42" s="5"/>
      <c r="E42" s="5"/>
      <c r="F42" s="5" t="s">
        <v>830</v>
      </c>
    </row>
    <row r="43" spans="1:6" x14ac:dyDescent="0.3">
      <c r="A43" s="5"/>
      <c r="B43" s="5" t="s">
        <v>19</v>
      </c>
      <c r="C43" s="5" t="s">
        <v>32</v>
      </c>
      <c r="D43" s="5"/>
      <c r="E43" s="5"/>
      <c r="F43" s="5" t="s">
        <v>831</v>
      </c>
    </row>
    <row r="44" spans="1:6" x14ac:dyDescent="0.3">
      <c r="A44" s="5"/>
      <c r="B44" s="5" t="s">
        <v>20</v>
      </c>
      <c r="C44" s="5" t="s">
        <v>27</v>
      </c>
      <c r="D44" s="5" t="s">
        <v>637</v>
      </c>
      <c r="E44" s="5" t="s">
        <v>638</v>
      </c>
      <c r="F44" s="5" t="s">
        <v>832</v>
      </c>
    </row>
    <row r="45" spans="1:6" x14ac:dyDescent="0.3">
      <c r="A45" s="5"/>
      <c r="B45" s="5" t="s">
        <v>20</v>
      </c>
      <c r="C45" s="5" t="s">
        <v>28</v>
      </c>
      <c r="D45" s="5"/>
      <c r="E45" s="5"/>
      <c r="F45" s="5" t="s">
        <v>833</v>
      </c>
    </row>
    <row r="46" spans="1:6" x14ac:dyDescent="0.3">
      <c r="A46" s="5"/>
      <c r="B46" s="5" t="s">
        <v>20</v>
      </c>
      <c r="C46" s="5" t="s">
        <v>29</v>
      </c>
      <c r="D46" s="5"/>
      <c r="E46" s="5"/>
      <c r="F46" s="5" t="s">
        <v>834</v>
      </c>
    </row>
    <row r="47" spans="1:6" x14ac:dyDescent="0.3">
      <c r="A47" s="5"/>
      <c r="B47" s="5" t="s">
        <v>20</v>
      </c>
      <c r="C47" s="5" t="s">
        <v>30</v>
      </c>
      <c r="D47" s="5"/>
      <c r="E47" s="5"/>
      <c r="F47" s="5" t="s">
        <v>835</v>
      </c>
    </row>
    <row r="48" spans="1:6" x14ac:dyDescent="0.3">
      <c r="A48" s="5"/>
      <c r="B48" s="5" t="s">
        <v>20</v>
      </c>
      <c r="C48" s="5" t="s">
        <v>31</v>
      </c>
      <c r="D48" s="5"/>
      <c r="E48" s="5"/>
      <c r="F48" s="5" t="s">
        <v>836</v>
      </c>
    </row>
    <row r="49" spans="1:6" x14ac:dyDescent="0.3">
      <c r="A49" s="5"/>
      <c r="B49" s="5" t="s">
        <v>20</v>
      </c>
      <c r="C49" s="5" t="s">
        <v>32</v>
      </c>
      <c r="D49" s="5"/>
      <c r="E49" s="5"/>
      <c r="F49" s="5" t="s">
        <v>837</v>
      </c>
    </row>
    <row r="50" spans="1:6" x14ac:dyDescent="0.3">
      <c r="A50" s="5"/>
      <c r="B50" s="5" t="s">
        <v>21</v>
      </c>
      <c r="C50" s="5" t="s">
        <v>27</v>
      </c>
      <c r="D50" s="5" t="s">
        <v>639</v>
      </c>
      <c r="E50" s="5" t="s">
        <v>640</v>
      </c>
      <c r="F50" s="5" t="s">
        <v>838</v>
      </c>
    </row>
    <row r="51" spans="1:6" x14ac:dyDescent="0.3">
      <c r="A51" s="5"/>
      <c r="B51" s="5" t="s">
        <v>21</v>
      </c>
      <c r="C51" s="5" t="s">
        <v>28</v>
      </c>
      <c r="D51" s="5"/>
      <c r="E51" s="5"/>
      <c r="F51" s="5" t="s">
        <v>839</v>
      </c>
    </row>
    <row r="52" spans="1:6" x14ac:dyDescent="0.3">
      <c r="A52" s="5"/>
      <c r="B52" s="5" t="s">
        <v>21</v>
      </c>
      <c r="C52" s="5" t="s">
        <v>29</v>
      </c>
      <c r="D52" s="5"/>
      <c r="E52" s="5"/>
      <c r="F52" s="5" t="s">
        <v>840</v>
      </c>
    </row>
    <row r="53" spans="1:6" x14ac:dyDescent="0.3">
      <c r="A53" s="5"/>
      <c r="B53" s="5" t="s">
        <v>21</v>
      </c>
      <c r="C53" s="5" t="s">
        <v>30</v>
      </c>
      <c r="D53" s="5"/>
      <c r="E53" s="5"/>
      <c r="F53" s="5" t="s">
        <v>841</v>
      </c>
    </row>
    <row r="54" spans="1:6" x14ac:dyDescent="0.3">
      <c r="A54" s="5"/>
      <c r="B54" s="5" t="s">
        <v>21</v>
      </c>
      <c r="C54" s="5" t="s">
        <v>31</v>
      </c>
      <c r="D54" s="5"/>
      <c r="E54" s="5"/>
      <c r="F54" s="5" t="s">
        <v>842</v>
      </c>
    </row>
    <row r="55" spans="1:6" x14ac:dyDescent="0.3">
      <c r="A55" s="5"/>
      <c r="B55" s="5" t="s">
        <v>21</v>
      </c>
      <c r="C55" s="5" t="s">
        <v>32</v>
      </c>
      <c r="D55" s="5"/>
      <c r="E55" s="5"/>
      <c r="F55" s="5" t="s">
        <v>843</v>
      </c>
    </row>
    <row r="56" spans="1:6" x14ac:dyDescent="0.3">
      <c r="A56" s="5"/>
      <c r="B56" s="5" t="s">
        <v>22</v>
      </c>
      <c r="C56" s="5" t="s">
        <v>27</v>
      </c>
      <c r="D56" s="5" t="s">
        <v>641</v>
      </c>
      <c r="E56" s="5" t="s">
        <v>642</v>
      </c>
      <c r="F56" s="5" t="s">
        <v>844</v>
      </c>
    </row>
    <row r="57" spans="1:6" x14ac:dyDescent="0.3">
      <c r="A57" s="5"/>
      <c r="B57" s="5" t="s">
        <v>22</v>
      </c>
      <c r="C57" s="5" t="s">
        <v>28</v>
      </c>
      <c r="D57" s="5"/>
      <c r="E57" s="5"/>
      <c r="F57" s="5" t="s">
        <v>845</v>
      </c>
    </row>
    <row r="58" spans="1:6" x14ac:dyDescent="0.3">
      <c r="A58" s="5"/>
      <c r="B58" s="5" t="s">
        <v>22</v>
      </c>
      <c r="C58" s="5" t="s">
        <v>29</v>
      </c>
      <c r="D58" s="5"/>
      <c r="E58" s="5"/>
      <c r="F58" s="5" t="s">
        <v>846</v>
      </c>
    </row>
    <row r="59" spans="1:6" x14ac:dyDescent="0.3">
      <c r="A59" s="5"/>
      <c r="B59" s="5" t="s">
        <v>22</v>
      </c>
      <c r="C59" s="5" t="s">
        <v>30</v>
      </c>
      <c r="D59" s="5"/>
      <c r="E59" s="5"/>
      <c r="F59" s="5" t="s">
        <v>847</v>
      </c>
    </row>
    <row r="60" spans="1:6" x14ac:dyDescent="0.3">
      <c r="A60" s="5"/>
      <c r="B60" s="5" t="s">
        <v>22</v>
      </c>
      <c r="C60" s="5" t="s">
        <v>31</v>
      </c>
      <c r="D60" s="5"/>
      <c r="E60" s="5"/>
      <c r="F60" s="5" t="s">
        <v>848</v>
      </c>
    </row>
    <row r="61" spans="1:6" x14ac:dyDescent="0.3">
      <c r="A61" s="5"/>
      <c r="B61" s="5" t="s">
        <v>22</v>
      </c>
      <c r="C61" s="5" t="s">
        <v>32</v>
      </c>
      <c r="D61" s="5"/>
      <c r="E61" s="5"/>
      <c r="F61" s="5" t="s">
        <v>849</v>
      </c>
    </row>
    <row r="62" spans="1:6" x14ac:dyDescent="0.3">
      <c r="A62" s="5"/>
      <c r="B62" s="5" t="s">
        <v>23</v>
      </c>
      <c r="C62" s="5" t="s">
        <v>27</v>
      </c>
      <c r="D62" s="5" t="s">
        <v>643</v>
      </c>
      <c r="E62" s="5" t="s">
        <v>644</v>
      </c>
      <c r="F62" s="5" t="s">
        <v>850</v>
      </c>
    </row>
    <row r="63" spans="1:6" x14ac:dyDescent="0.3">
      <c r="A63" s="5"/>
      <c r="B63" s="5" t="s">
        <v>23</v>
      </c>
      <c r="C63" s="5" t="s">
        <v>28</v>
      </c>
      <c r="D63" s="5"/>
      <c r="E63" s="5"/>
      <c r="F63" s="5" t="s">
        <v>851</v>
      </c>
    </row>
    <row r="64" spans="1:6" x14ac:dyDescent="0.3">
      <c r="A64" s="5"/>
      <c r="B64" s="5" t="s">
        <v>23</v>
      </c>
      <c r="C64" s="5" t="s">
        <v>29</v>
      </c>
      <c r="D64" s="5"/>
      <c r="E64" s="5"/>
      <c r="F64" s="5" t="s">
        <v>852</v>
      </c>
    </row>
    <row r="65" spans="1:6" x14ac:dyDescent="0.3">
      <c r="A65" s="5"/>
      <c r="B65" s="5" t="s">
        <v>23</v>
      </c>
      <c r="C65" s="5" t="s">
        <v>30</v>
      </c>
      <c r="D65" s="5"/>
      <c r="E65" s="5"/>
      <c r="F65" s="5" t="s">
        <v>853</v>
      </c>
    </row>
    <row r="66" spans="1:6" x14ac:dyDescent="0.3">
      <c r="A66" s="5"/>
      <c r="B66" s="5" t="s">
        <v>23</v>
      </c>
      <c r="C66" s="5" t="s">
        <v>31</v>
      </c>
      <c r="D66" s="5"/>
      <c r="E66" s="5"/>
      <c r="F66" s="5" t="s">
        <v>854</v>
      </c>
    </row>
    <row r="67" spans="1:6" x14ac:dyDescent="0.3">
      <c r="A67" s="5"/>
      <c r="B67" s="5" t="s">
        <v>23</v>
      </c>
      <c r="C67" s="5" t="s">
        <v>32</v>
      </c>
      <c r="D67" s="5"/>
      <c r="E67" s="5"/>
      <c r="F67" s="5" t="s">
        <v>855</v>
      </c>
    </row>
    <row r="68" spans="1:6" x14ac:dyDescent="0.3">
      <c r="A68" s="5"/>
      <c r="B68" s="5" t="s">
        <v>24</v>
      </c>
      <c r="C68" s="5" t="s">
        <v>27</v>
      </c>
      <c r="D68" s="5" t="s">
        <v>645</v>
      </c>
      <c r="E68" s="5" t="s">
        <v>646</v>
      </c>
      <c r="F68" s="5" t="s">
        <v>856</v>
      </c>
    </row>
    <row r="69" spans="1:6" x14ac:dyDescent="0.3">
      <c r="A69" s="5"/>
      <c r="B69" s="5" t="s">
        <v>24</v>
      </c>
      <c r="C69" s="5" t="s">
        <v>28</v>
      </c>
      <c r="D69" s="5"/>
      <c r="E69" s="5"/>
      <c r="F69" s="5" t="s">
        <v>857</v>
      </c>
    </row>
    <row r="70" spans="1:6" x14ac:dyDescent="0.3">
      <c r="A70" s="5"/>
      <c r="B70" s="5" t="s">
        <v>24</v>
      </c>
      <c r="C70" s="5" t="s">
        <v>29</v>
      </c>
      <c r="D70" s="5"/>
      <c r="E70" s="5"/>
      <c r="F70" s="5" t="s">
        <v>858</v>
      </c>
    </row>
    <row r="71" spans="1:6" x14ac:dyDescent="0.3">
      <c r="A71" s="5"/>
      <c r="B71" s="5" t="s">
        <v>24</v>
      </c>
      <c r="C71" s="5" t="s">
        <v>30</v>
      </c>
      <c r="D71" s="5"/>
      <c r="E71" s="5"/>
      <c r="F71" s="5" t="s">
        <v>859</v>
      </c>
    </row>
    <row r="72" spans="1:6" x14ac:dyDescent="0.3">
      <c r="A72" s="5"/>
      <c r="B72" s="5" t="s">
        <v>24</v>
      </c>
      <c r="C72" s="5" t="s">
        <v>31</v>
      </c>
      <c r="D72" s="5"/>
      <c r="E72" s="5"/>
      <c r="F72" s="5" t="s">
        <v>860</v>
      </c>
    </row>
    <row r="73" spans="1:6" x14ac:dyDescent="0.3">
      <c r="A73" s="5"/>
      <c r="B73" s="5" t="s">
        <v>24</v>
      </c>
      <c r="C73" s="5" t="s">
        <v>32</v>
      </c>
      <c r="D73" s="5"/>
      <c r="E73" s="5"/>
      <c r="F73" s="5" t="s">
        <v>861</v>
      </c>
    </row>
    <row r="74" spans="1:6" x14ac:dyDescent="0.3">
      <c r="A74" s="5"/>
      <c r="B74" s="5" t="s">
        <v>25</v>
      </c>
      <c r="C74" s="5" t="s">
        <v>27</v>
      </c>
      <c r="D74" s="5" t="s">
        <v>647</v>
      </c>
      <c r="E74" s="5" t="s">
        <v>648</v>
      </c>
      <c r="F74" s="5" t="s">
        <v>790</v>
      </c>
    </row>
    <row r="75" spans="1:6" x14ac:dyDescent="0.3">
      <c r="A75" s="5"/>
      <c r="B75" s="5" t="s">
        <v>25</v>
      </c>
      <c r="C75" s="5" t="s">
        <v>28</v>
      </c>
      <c r="D75" s="5"/>
      <c r="E75" s="5"/>
      <c r="F75" s="5" t="s">
        <v>791</v>
      </c>
    </row>
    <row r="76" spans="1:6" x14ac:dyDescent="0.3">
      <c r="A76" s="5"/>
      <c r="B76" s="5" t="s">
        <v>25</v>
      </c>
      <c r="C76" s="5" t="s">
        <v>29</v>
      </c>
      <c r="D76" s="5"/>
      <c r="E76" s="5"/>
      <c r="F76" s="5" t="s">
        <v>792</v>
      </c>
    </row>
    <row r="77" spans="1:6" x14ac:dyDescent="0.3">
      <c r="A77" s="5"/>
      <c r="B77" s="5" t="s">
        <v>25</v>
      </c>
      <c r="C77" s="5" t="s">
        <v>30</v>
      </c>
      <c r="D77" s="5"/>
      <c r="E77" s="5"/>
      <c r="F77" s="5" t="s">
        <v>793</v>
      </c>
    </row>
    <row r="78" spans="1:6" x14ac:dyDescent="0.3">
      <c r="A78" s="5"/>
      <c r="B78" s="5" t="s">
        <v>25</v>
      </c>
      <c r="C78" s="5" t="s">
        <v>31</v>
      </c>
      <c r="D78" s="5"/>
      <c r="E78" s="5"/>
      <c r="F78" s="5" t="s">
        <v>794</v>
      </c>
    </row>
    <row r="79" spans="1:6" x14ac:dyDescent="0.3">
      <c r="A79" s="5"/>
      <c r="B79" s="5" t="s">
        <v>25</v>
      </c>
      <c r="C79" s="5" t="s">
        <v>32</v>
      </c>
      <c r="D79" s="5"/>
      <c r="E79" s="5"/>
      <c r="F79" s="5" t="s">
        <v>795</v>
      </c>
    </row>
    <row r="80" spans="1:6" x14ac:dyDescent="0.3">
      <c r="A80" s="5"/>
      <c r="B80" s="5" t="s">
        <v>26</v>
      </c>
      <c r="C80" s="5" t="s">
        <v>27</v>
      </c>
      <c r="D80" s="5" t="s">
        <v>649</v>
      </c>
      <c r="E80" s="5" t="s">
        <v>650</v>
      </c>
      <c r="F80" s="5" t="s">
        <v>796</v>
      </c>
    </row>
    <row r="81" spans="1:6" x14ac:dyDescent="0.3">
      <c r="A81" s="5"/>
      <c r="B81" s="5" t="s">
        <v>26</v>
      </c>
      <c r="C81" s="5" t="s">
        <v>28</v>
      </c>
      <c r="D81" s="5"/>
      <c r="E81" s="5"/>
      <c r="F81" s="5" t="s">
        <v>797</v>
      </c>
    </row>
    <row r="82" spans="1:6" x14ac:dyDescent="0.3">
      <c r="A82" s="5"/>
      <c r="B82" s="5" t="s">
        <v>26</v>
      </c>
      <c r="C82" s="5" t="s">
        <v>29</v>
      </c>
      <c r="D82" s="5"/>
      <c r="E82" s="5"/>
      <c r="F82" s="5" t="s">
        <v>798</v>
      </c>
    </row>
    <row r="83" spans="1:6" x14ac:dyDescent="0.3">
      <c r="A83" s="5"/>
      <c r="B83" s="5" t="s">
        <v>26</v>
      </c>
      <c r="C83" s="5" t="s">
        <v>30</v>
      </c>
      <c r="D83" s="5"/>
      <c r="E83" s="5"/>
      <c r="F83" s="5" t="s">
        <v>799</v>
      </c>
    </row>
    <row r="84" spans="1:6" x14ac:dyDescent="0.3">
      <c r="A84" s="5"/>
      <c r="B84" s="5" t="s">
        <v>26</v>
      </c>
      <c r="C84" s="5" t="s">
        <v>31</v>
      </c>
      <c r="D84" s="5"/>
      <c r="E84" s="5"/>
      <c r="F84" s="5" t="s">
        <v>800</v>
      </c>
    </row>
    <row r="85" spans="1:6" x14ac:dyDescent="0.3">
      <c r="A85" s="5"/>
      <c r="B85" s="5" t="s">
        <v>26</v>
      </c>
      <c r="C85" s="5" t="s">
        <v>32</v>
      </c>
      <c r="D85" s="5"/>
      <c r="E85" s="5"/>
      <c r="F85" s="5" t="s">
        <v>801</v>
      </c>
    </row>
    <row r="86" spans="1:6" x14ac:dyDescent="0.3">
      <c r="A86" s="5" t="s">
        <v>6</v>
      </c>
      <c r="B86" s="5" t="s">
        <v>33</v>
      </c>
      <c r="C86" s="5" t="s">
        <v>27</v>
      </c>
      <c r="D86" s="5" t="s">
        <v>651</v>
      </c>
      <c r="E86" s="5" t="s">
        <v>652</v>
      </c>
      <c r="F86" s="5" t="s">
        <v>790</v>
      </c>
    </row>
    <row r="87" spans="1:6" x14ac:dyDescent="0.3">
      <c r="A87" s="5"/>
      <c r="B87" s="5" t="s">
        <v>33</v>
      </c>
      <c r="C87" s="5" t="s">
        <v>28</v>
      </c>
      <c r="D87" s="5"/>
      <c r="E87" s="5"/>
      <c r="F87" s="5" t="s">
        <v>791</v>
      </c>
    </row>
    <row r="88" spans="1:6" x14ac:dyDescent="0.3">
      <c r="A88" s="5"/>
      <c r="B88" s="5" t="s">
        <v>33</v>
      </c>
      <c r="C88" s="5" t="s">
        <v>29</v>
      </c>
      <c r="D88" s="5"/>
      <c r="E88" s="5"/>
      <c r="F88" s="5" t="s">
        <v>792</v>
      </c>
    </row>
    <row r="89" spans="1:6" x14ac:dyDescent="0.3">
      <c r="A89" s="5"/>
      <c r="B89" s="5" t="s">
        <v>33</v>
      </c>
      <c r="C89" s="5" t="s">
        <v>30</v>
      </c>
      <c r="D89" s="5"/>
      <c r="E89" s="5"/>
      <c r="F89" s="5" t="s">
        <v>793</v>
      </c>
    </row>
    <row r="90" spans="1:6" x14ac:dyDescent="0.3">
      <c r="A90" s="5"/>
      <c r="B90" s="5" t="s">
        <v>33</v>
      </c>
      <c r="C90" s="5" t="s">
        <v>31</v>
      </c>
      <c r="D90" s="5"/>
      <c r="E90" s="5"/>
      <c r="F90" s="5" t="s">
        <v>794</v>
      </c>
    </row>
    <row r="91" spans="1:6" x14ac:dyDescent="0.3">
      <c r="A91" s="5"/>
      <c r="B91" s="5" t="s">
        <v>33</v>
      </c>
      <c r="C91" s="5" t="s">
        <v>32</v>
      </c>
      <c r="D91" s="5"/>
      <c r="E91" s="5"/>
      <c r="F91" s="5" t="s">
        <v>795</v>
      </c>
    </row>
    <row r="92" spans="1:6" x14ac:dyDescent="0.3">
      <c r="A92" s="5"/>
      <c r="B92" s="5" t="s">
        <v>34</v>
      </c>
      <c r="C92" s="5" t="s">
        <v>27</v>
      </c>
      <c r="D92" s="5" t="s">
        <v>653</v>
      </c>
      <c r="E92" s="5" t="s">
        <v>654</v>
      </c>
      <c r="F92" s="5" t="s">
        <v>796</v>
      </c>
    </row>
    <row r="93" spans="1:6" x14ac:dyDescent="0.3">
      <c r="A93" s="5"/>
      <c r="B93" s="5" t="s">
        <v>34</v>
      </c>
      <c r="C93" s="5" t="s">
        <v>28</v>
      </c>
      <c r="D93" s="5"/>
      <c r="E93" s="5"/>
      <c r="F93" s="5" t="s">
        <v>797</v>
      </c>
    </row>
    <row r="94" spans="1:6" x14ac:dyDescent="0.3">
      <c r="A94" s="5"/>
      <c r="B94" s="5" t="s">
        <v>34</v>
      </c>
      <c r="C94" s="5" t="s">
        <v>29</v>
      </c>
      <c r="D94" s="5"/>
      <c r="E94" s="5"/>
      <c r="F94" s="5" t="s">
        <v>798</v>
      </c>
    </row>
    <row r="95" spans="1:6" x14ac:dyDescent="0.3">
      <c r="A95" s="5"/>
      <c r="B95" s="5" t="s">
        <v>34</v>
      </c>
      <c r="C95" s="5" t="s">
        <v>30</v>
      </c>
      <c r="D95" s="5"/>
      <c r="E95" s="5"/>
      <c r="F95" s="5" t="s">
        <v>799</v>
      </c>
    </row>
    <row r="96" spans="1:6" x14ac:dyDescent="0.3">
      <c r="A96" s="5"/>
      <c r="B96" s="5" t="s">
        <v>34</v>
      </c>
      <c r="C96" s="5" t="s">
        <v>31</v>
      </c>
      <c r="D96" s="5"/>
      <c r="E96" s="5"/>
      <c r="F96" s="5" t="s">
        <v>800</v>
      </c>
    </row>
    <row r="97" spans="1:6" x14ac:dyDescent="0.3">
      <c r="A97" s="5"/>
      <c r="B97" s="5" t="s">
        <v>34</v>
      </c>
      <c r="C97" s="5" t="s">
        <v>32</v>
      </c>
      <c r="D97" s="5"/>
      <c r="E97" s="5"/>
      <c r="F97" s="5" t="s">
        <v>801</v>
      </c>
    </row>
    <row r="98" spans="1:6" x14ac:dyDescent="0.3">
      <c r="A98" s="5"/>
      <c r="B98" s="5" t="s">
        <v>35</v>
      </c>
      <c r="C98" s="5" t="s">
        <v>27</v>
      </c>
      <c r="D98" s="5" t="s">
        <v>655</v>
      </c>
      <c r="E98" s="5" t="s">
        <v>656</v>
      </c>
      <c r="F98" s="5" t="s">
        <v>802</v>
      </c>
    </row>
    <row r="99" spans="1:6" x14ac:dyDescent="0.3">
      <c r="A99" s="5"/>
      <c r="B99" s="5" t="s">
        <v>35</v>
      </c>
      <c r="C99" s="5" t="s">
        <v>28</v>
      </c>
      <c r="D99" s="5"/>
      <c r="E99" s="5"/>
      <c r="F99" s="5" t="s">
        <v>803</v>
      </c>
    </row>
    <row r="100" spans="1:6" x14ac:dyDescent="0.3">
      <c r="A100" s="5"/>
      <c r="B100" s="5" t="s">
        <v>35</v>
      </c>
      <c r="C100" s="5" t="s">
        <v>29</v>
      </c>
      <c r="D100" s="5"/>
      <c r="E100" s="5"/>
      <c r="F100" s="5" t="s">
        <v>804</v>
      </c>
    </row>
    <row r="101" spans="1:6" x14ac:dyDescent="0.3">
      <c r="A101" s="5"/>
      <c r="B101" s="5" t="s">
        <v>35</v>
      </c>
      <c r="C101" s="5" t="s">
        <v>30</v>
      </c>
      <c r="D101" s="5"/>
      <c r="E101" s="5"/>
      <c r="F101" s="5" t="s">
        <v>805</v>
      </c>
    </row>
    <row r="102" spans="1:6" x14ac:dyDescent="0.3">
      <c r="A102" s="5"/>
      <c r="B102" s="5" t="s">
        <v>35</v>
      </c>
      <c r="C102" s="5" t="s">
        <v>31</v>
      </c>
      <c r="D102" s="5"/>
      <c r="E102" s="5"/>
      <c r="F102" s="5" t="s">
        <v>806</v>
      </c>
    </row>
    <row r="103" spans="1:6" x14ac:dyDescent="0.3">
      <c r="A103" s="5"/>
      <c r="B103" s="5" t="s">
        <v>35</v>
      </c>
      <c r="C103" s="5" t="s">
        <v>32</v>
      </c>
      <c r="D103" s="5"/>
      <c r="E103" s="5"/>
      <c r="F103" s="5" t="s">
        <v>807</v>
      </c>
    </row>
    <row r="104" spans="1:6" x14ac:dyDescent="0.3">
      <c r="A104" s="5"/>
      <c r="B104" s="5" t="s">
        <v>36</v>
      </c>
      <c r="C104" s="5" t="s">
        <v>27</v>
      </c>
      <c r="D104" s="5" t="s">
        <v>657</v>
      </c>
      <c r="E104" s="5" t="s">
        <v>658</v>
      </c>
      <c r="F104" s="5" t="s">
        <v>808</v>
      </c>
    </row>
    <row r="105" spans="1:6" x14ac:dyDescent="0.3">
      <c r="A105" s="5"/>
      <c r="B105" s="5" t="s">
        <v>36</v>
      </c>
      <c r="C105" s="5" t="s">
        <v>28</v>
      </c>
      <c r="D105" s="5"/>
      <c r="E105" s="5"/>
      <c r="F105" s="5" t="s">
        <v>809</v>
      </c>
    </row>
    <row r="106" spans="1:6" x14ac:dyDescent="0.3">
      <c r="A106" s="5"/>
      <c r="B106" s="5" t="s">
        <v>36</v>
      </c>
      <c r="C106" s="5" t="s">
        <v>29</v>
      </c>
      <c r="D106" s="5"/>
      <c r="E106" s="5"/>
      <c r="F106" s="5" t="s">
        <v>810</v>
      </c>
    </row>
    <row r="107" spans="1:6" x14ac:dyDescent="0.3">
      <c r="A107" s="5"/>
      <c r="B107" s="5" t="s">
        <v>36</v>
      </c>
      <c r="C107" s="5" t="s">
        <v>30</v>
      </c>
      <c r="D107" s="5"/>
      <c r="E107" s="5"/>
      <c r="F107" s="5" t="s">
        <v>811</v>
      </c>
    </row>
    <row r="108" spans="1:6" x14ac:dyDescent="0.3">
      <c r="A108" s="5"/>
      <c r="B108" s="5" t="s">
        <v>36</v>
      </c>
      <c r="C108" s="5" t="s">
        <v>31</v>
      </c>
      <c r="D108" s="5"/>
      <c r="E108" s="5"/>
      <c r="F108" s="5" t="s">
        <v>812</v>
      </c>
    </row>
    <row r="109" spans="1:6" x14ac:dyDescent="0.3">
      <c r="A109" s="5"/>
      <c r="B109" s="5" t="s">
        <v>36</v>
      </c>
      <c r="C109" s="5" t="s">
        <v>32</v>
      </c>
      <c r="D109" s="5"/>
      <c r="E109" s="5"/>
      <c r="F109" s="5" t="s">
        <v>813</v>
      </c>
    </row>
    <row r="110" spans="1:6" x14ac:dyDescent="0.3">
      <c r="A110" s="5"/>
      <c r="B110" s="5" t="s">
        <v>37</v>
      </c>
      <c r="C110" s="5" t="s">
        <v>27</v>
      </c>
      <c r="D110" s="5" t="s">
        <v>659</v>
      </c>
      <c r="E110" s="5" t="s">
        <v>660</v>
      </c>
      <c r="F110" s="5" t="s">
        <v>814</v>
      </c>
    </row>
    <row r="111" spans="1:6" x14ac:dyDescent="0.3">
      <c r="A111" s="5"/>
      <c r="B111" s="5" t="s">
        <v>37</v>
      </c>
      <c r="C111" s="5" t="s">
        <v>28</v>
      </c>
      <c r="D111" s="5"/>
      <c r="E111" s="5"/>
      <c r="F111" s="5" t="s">
        <v>815</v>
      </c>
    </row>
    <row r="112" spans="1:6" x14ac:dyDescent="0.3">
      <c r="A112" s="5"/>
      <c r="B112" s="5" t="s">
        <v>37</v>
      </c>
      <c r="C112" s="5" t="s">
        <v>29</v>
      </c>
      <c r="D112" s="5"/>
      <c r="E112" s="5"/>
      <c r="F112" s="5" t="s">
        <v>816</v>
      </c>
    </row>
    <row r="113" spans="1:6" x14ac:dyDescent="0.3">
      <c r="A113" s="5"/>
      <c r="B113" s="5" t="s">
        <v>37</v>
      </c>
      <c r="C113" s="5" t="s">
        <v>30</v>
      </c>
      <c r="D113" s="5"/>
      <c r="E113" s="5"/>
      <c r="F113" s="5" t="s">
        <v>817</v>
      </c>
    </row>
    <row r="114" spans="1:6" x14ac:dyDescent="0.3">
      <c r="A114" s="5"/>
      <c r="B114" s="5" t="s">
        <v>37</v>
      </c>
      <c r="C114" s="5" t="s">
        <v>31</v>
      </c>
      <c r="D114" s="5"/>
      <c r="E114" s="5"/>
      <c r="F114" s="5" t="s">
        <v>818</v>
      </c>
    </row>
    <row r="115" spans="1:6" x14ac:dyDescent="0.3">
      <c r="A115" s="5"/>
      <c r="B115" s="5" t="s">
        <v>37</v>
      </c>
      <c r="C115" s="5" t="s">
        <v>32</v>
      </c>
      <c r="D115" s="5"/>
      <c r="E115" s="5"/>
      <c r="F115" s="5" t="s">
        <v>819</v>
      </c>
    </row>
    <row r="116" spans="1:6" x14ac:dyDescent="0.3">
      <c r="A116" s="5"/>
      <c r="B116" s="5" t="s">
        <v>38</v>
      </c>
      <c r="C116" s="5" t="s">
        <v>27</v>
      </c>
      <c r="D116" s="5" t="s">
        <v>661</v>
      </c>
      <c r="E116" s="5" t="s">
        <v>662</v>
      </c>
      <c r="F116" s="5" t="s">
        <v>820</v>
      </c>
    </row>
    <row r="117" spans="1:6" x14ac:dyDescent="0.3">
      <c r="A117" s="5"/>
      <c r="B117" s="5" t="s">
        <v>38</v>
      </c>
      <c r="C117" s="5" t="s">
        <v>28</v>
      </c>
      <c r="D117" s="5"/>
      <c r="E117" s="5"/>
      <c r="F117" s="5" t="s">
        <v>821</v>
      </c>
    </row>
    <row r="118" spans="1:6" x14ac:dyDescent="0.3">
      <c r="A118" s="5"/>
      <c r="B118" s="5" t="s">
        <v>38</v>
      </c>
      <c r="C118" s="5" t="s">
        <v>29</v>
      </c>
      <c r="D118" s="5"/>
      <c r="E118" s="5"/>
      <c r="F118" s="5" t="s">
        <v>822</v>
      </c>
    </row>
    <row r="119" spans="1:6" x14ac:dyDescent="0.3">
      <c r="A119" s="5"/>
      <c r="B119" s="5" t="s">
        <v>38</v>
      </c>
      <c r="C119" s="5" t="s">
        <v>30</v>
      </c>
      <c r="D119" s="5"/>
      <c r="E119" s="5"/>
      <c r="F119" s="5" t="s">
        <v>823</v>
      </c>
    </row>
    <row r="120" spans="1:6" x14ac:dyDescent="0.3">
      <c r="A120" s="5"/>
      <c r="B120" s="5" t="s">
        <v>38</v>
      </c>
      <c r="C120" s="5" t="s">
        <v>31</v>
      </c>
      <c r="D120" s="5"/>
      <c r="E120" s="5"/>
      <c r="F120" s="5" t="s">
        <v>824</v>
      </c>
    </row>
    <row r="121" spans="1:6" x14ac:dyDescent="0.3">
      <c r="A121" s="5"/>
      <c r="B121" s="5" t="s">
        <v>38</v>
      </c>
      <c r="C121" s="5" t="s">
        <v>32</v>
      </c>
      <c r="D121" s="5"/>
      <c r="E121" s="5"/>
      <c r="F121" s="5" t="s">
        <v>825</v>
      </c>
    </row>
    <row r="122" spans="1:6" x14ac:dyDescent="0.3">
      <c r="A122" s="5"/>
      <c r="B122" s="5" t="s">
        <v>39</v>
      </c>
      <c r="C122" s="5" t="s">
        <v>27</v>
      </c>
      <c r="D122" s="5" t="s">
        <v>663</v>
      </c>
      <c r="E122" s="5" t="s">
        <v>664</v>
      </c>
      <c r="F122" s="5" t="s">
        <v>826</v>
      </c>
    </row>
    <row r="123" spans="1:6" x14ac:dyDescent="0.3">
      <c r="A123" s="5"/>
      <c r="B123" s="5" t="s">
        <v>39</v>
      </c>
      <c r="C123" s="5" t="s">
        <v>28</v>
      </c>
      <c r="D123" s="5"/>
      <c r="E123" s="5"/>
      <c r="F123" s="5" t="s">
        <v>827</v>
      </c>
    </row>
    <row r="124" spans="1:6" x14ac:dyDescent="0.3">
      <c r="A124" s="5"/>
      <c r="B124" s="5" t="s">
        <v>39</v>
      </c>
      <c r="C124" s="5" t="s">
        <v>29</v>
      </c>
      <c r="D124" s="5"/>
      <c r="E124" s="5"/>
      <c r="F124" s="5" t="s">
        <v>828</v>
      </c>
    </row>
    <row r="125" spans="1:6" x14ac:dyDescent="0.3">
      <c r="A125" s="5"/>
      <c r="B125" s="5" t="s">
        <v>39</v>
      </c>
      <c r="C125" s="5" t="s">
        <v>30</v>
      </c>
      <c r="D125" s="5"/>
      <c r="E125" s="5"/>
      <c r="F125" s="5" t="s">
        <v>829</v>
      </c>
    </row>
    <row r="126" spans="1:6" x14ac:dyDescent="0.3">
      <c r="A126" s="5"/>
      <c r="B126" s="5" t="s">
        <v>39</v>
      </c>
      <c r="C126" s="5" t="s">
        <v>31</v>
      </c>
      <c r="D126" s="5"/>
      <c r="E126" s="5"/>
      <c r="F126" s="5" t="s">
        <v>830</v>
      </c>
    </row>
    <row r="127" spans="1:6" x14ac:dyDescent="0.3">
      <c r="A127" s="5"/>
      <c r="B127" s="5" t="s">
        <v>39</v>
      </c>
      <c r="C127" s="5" t="s">
        <v>32</v>
      </c>
      <c r="D127" s="5"/>
      <c r="E127" s="5"/>
      <c r="F127" s="5" t="s">
        <v>831</v>
      </c>
    </row>
    <row r="128" spans="1:6" x14ac:dyDescent="0.3">
      <c r="A128" s="5"/>
      <c r="B128" s="5" t="s">
        <v>40</v>
      </c>
      <c r="C128" s="5" t="s">
        <v>27</v>
      </c>
      <c r="D128" s="5" t="s">
        <v>665</v>
      </c>
      <c r="E128" s="5" t="s">
        <v>666</v>
      </c>
      <c r="F128" s="5" t="s">
        <v>832</v>
      </c>
    </row>
    <row r="129" spans="1:6" x14ac:dyDescent="0.3">
      <c r="A129" s="5"/>
      <c r="B129" s="5" t="s">
        <v>40</v>
      </c>
      <c r="C129" s="5" t="s">
        <v>28</v>
      </c>
      <c r="D129" s="5"/>
      <c r="E129" s="5"/>
      <c r="F129" s="5" t="s">
        <v>833</v>
      </c>
    </row>
    <row r="130" spans="1:6" x14ac:dyDescent="0.3">
      <c r="A130" s="5"/>
      <c r="B130" s="5" t="s">
        <v>40</v>
      </c>
      <c r="C130" s="5" t="s">
        <v>29</v>
      </c>
      <c r="D130" s="5"/>
      <c r="E130" s="5"/>
      <c r="F130" s="5" t="s">
        <v>834</v>
      </c>
    </row>
    <row r="131" spans="1:6" x14ac:dyDescent="0.3">
      <c r="A131" s="5"/>
      <c r="B131" s="5" t="s">
        <v>40</v>
      </c>
      <c r="C131" s="5" t="s">
        <v>30</v>
      </c>
      <c r="D131" s="5"/>
      <c r="E131" s="5"/>
      <c r="F131" s="5" t="s">
        <v>835</v>
      </c>
    </row>
    <row r="132" spans="1:6" x14ac:dyDescent="0.3">
      <c r="A132" s="5"/>
      <c r="B132" s="5" t="s">
        <v>40</v>
      </c>
      <c r="C132" s="5" t="s">
        <v>31</v>
      </c>
      <c r="D132" s="5"/>
      <c r="E132" s="5"/>
      <c r="F132" s="5" t="s">
        <v>836</v>
      </c>
    </row>
    <row r="133" spans="1:6" x14ac:dyDescent="0.3">
      <c r="A133" s="5"/>
      <c r="B133" s="5" t="s">
        <v>40</v>
      </c>
      <c r="C133" s="5" t="s">
        <v>32</v>
      </c>
      <c r="D133" s="5"/>
      <c r="E133" s="5"/>
      <c r="F133" s="5" t="s">
        <v>837</v>
      </c>
    </row>
    <row r="134" spans="1:6" x14ac:dyDescent="0.3">
      <c r="A134" s="5"/>
      <c r="B134" s="5" t="s">
        <v>41</v>
      </c>
      <c r="C134" s="5" t="s">
        <v>27</v>
      </c>
      <c r="D134" s="5" t="s">
        <v>667</v>
      </c>
      <c r="E134" s="5" t="s">
        <v>668</v>
      </c>
      <c r="F134" s="5" t="s">
        <v>838</v>
      </c>
    </row>
    <row r="135" spans="1:6" x14ac:dyDescent="0.3">
      <c r="A135" s="5"/>
      <c r="B135" s="5" t="s">
        <v>41</v>
      </c>
      <c r="C135" s="5" t="s">
        <v>28</v>
      </c>
      <c r="D135" s="5"/>
      <c r="E135" s="5"/>
      <c r="F135" s="5" t="s">
        <v>839</v>
      </c>
    </row>
    <row r="136" spans="1:6" x14ac:dyDescent="0.3">
      <c r="A136" s="5"/>
      <c r="B136" s="5" t="s">
        <v>41</v>
      </c>
      <c r="C136" s="5" t="s">
        <v>29</v>
      </c>
      <c r="D136" s="5"/>
      <c r="E136" s="5"/>
      <c r="F136" s="5" t="s">
        <v>840</v>
      </c>
    </row>
    <row r="137" spans="1:6" x14ac:dyDescent="0.3">
      <c r="A137" s="5"/>
      <c r="B137" s="5" t="s">
        <v>41</v>
      </c>
      <c r="C137" s="5" t="s">
        <v>30</v>
      </c>
      <c r="D137" s="5"/>
      <c r="E137" s="5"/>
      <c r="F137" s="5" t="s">
        <v>841</v>
      </c>
    </row>
    <row r="138" spans="1:6" x14ac:dyDescent="0.3">
      <c r="A138" s="5"/>
      <c r="B138" s="5" t="s">
        <v>41</v>
      </c>
      <c r="C138" s="5" t="s">
        <v>31</v>
      </c>
      <c r="D138" s="5"/>
      <c r="E138" s="5"/>
      <c r="F138" s="5" t="s">
        <v>842</v>
      </c>
    </row>
    <row r="139" spans="1:6" x14ac:dyDescent="0.3">
      <c r="A139" s="5"/>
      <c r="B139" s="5" t="s">
        <v>41</v>
      </c>
      <c r="C139" s="5" t="s">
        <v>32</v>
      </c>
      <c r="D139" s="5"/>
      <c r="E139" s="5"/>
      <c r="F139" s="5" t="s">
        <v>843</v>
      </c>
    </row>
    <row r="140" spans="1:6" x14ac:dyDescent="0.3">
      <c r="A140" s="5"/>
      <c r="B140" s="5" t="s">
        <v>42</v>
      </c>
      <c r="C140" s="5" t="s">
        <v>27</v>
      </c>
      <c r="D140" s="5" t="s">
        <v>669</v>
      </c>
      <c r="E140" s="5" t="s">
        <v>670</v>
      </c>
      <c r="F140" s="5" t="s">
        <v>844</v>
      </c>
    </row>
    <row r="141" spans="1:6" x14ac:dyDescent="0.3">
      <c r="A141" s="5"/>
      <c r="B141" s="5" t="s">
        <v>42</v>
      </c>
      <c r="C141" s="5" t="s">
        <v>28</v>
      </c>
      <c r="D141" s="5"/>
      <c r="E141" s="5"/>
      <c r="F141" s="5" t="s">
        <v>845</v>
      </c>
    </row>
    <row r="142" spans="1:6" x14ac:dyDescent="0.3">
      <c r="A142" s="5"/>
      <c r="B142" s="5" t="s">
        <v>42</v>
      </c>
      <c r="C142" s="5" t="s">
        <v>29</v>
      </c>
      <c r="D142" s="5"/>
      <c r="E142" s="5"/>
      <c r="F142" s="5" t="s">
        <v>846</v>
      </c>
    </row>
    <row r="143" spans="1:6" x14ac:dyDescent="0.3">
      <c r="A143" s="5"/>
      <c r="B143" s="5" t="s">
        <v>42</v>
      </c>
      <c r="C143" s="5" t="s">
        <v>30</v>
      </c>
      <c r="D143" s="5"/>
      <c r="E143" s="5"/>
      <c r="F143" s="5" t="s">
        <v>847</v>
      </c>
    </row>
    <row r="144" spans="1:6" x14ac:dyDescent="0.3">
      <c r="A144" s="5"/>
      <c r="B144" s="5" t="s">
        <v>42</v>
      </c>
      <c r="C144" s="5" t="s">
        <v>31</v>
      </c>
      <c r="D144" s="5"/>
      <c r="E144" s="5"/>
      <c r="F144" s="5" t="s">
        <v>848</v>
      </c>
    </row>
    <row r="145" spans="1:6" x14ac:dyDescent="0.3">
      <c r="A145" s="5"/>
      <c r="B145" s="5" t="s">
        <v>42</v>
      </c>
      <c r="C145" s="5" t="s">
        <v>32</v>
      </c>
      <c r="D145" s="5"/>
      <c r="E145" s="5"/>
      <c r="F145" s="5" t="s">
        <v>849</v>
      </c>
    </row>
    <row r="146" spans="1:6" x14ac:dyDescent="0.3">
      <c r="A146" s="5" t="s">
        <v>7</v>
      </c>
      <c r="B146" s="5" t="s">
        <v>43</v>
      </c>
      <c r="C146" s="5" t="s">
        <v>27</v>
      </c>
      <c r="D146" s="5" t="s">
        <v>671</v>
      </c>
      <c r="E146" s="5" t="s">
        <v>672</v>
      </c>
      <c r="F146" s="5" t="s">
        <v>790</v>
      </c>
    </row>
    <row r="147" spans="1:6" x14ac:dyDescent="0.3">
      <c r="A147" s="5"/>
      <c r="B147" s="5" t="s">
        <v>43</v>
      </c>
      <c r="C147" s="5" t="s">
        <v>28</v>
      </c>
      <c r="D147" s="5"/>
      <c r="E147" s="5"/>
      <c r="F147" s="5" t="s">
        <v>791</v>
      </c>
    </row>
    <row r="148" spans="1:6" x14ac:dyDescent="0.3">
      <c r="A148" s="5"/>
      <c r="B148" s="5" t="s">
        <v>43</v>
      </c>
      <c r="C148" s="5" t="s">
        <v>29</v>
      </c>
      <c r="D148" s="5"/>
      <c r="E148" s="5"/>
      <c r="F148" s="5" t="s">
        <v>792</v>
      </c>
    </row>
    <row r="149" spans="1:6" x14ac:dyDescent="0.3">
      <c r="A149" s="5"/>
      <c r="B149" s="5" t="s">
        <v>43</v>
      </c>
      <c r="C149" s="5" t="s">
        <v>30</v>
      </c>
      <c r="D149" s="5"/>
      <c r="E149" s="5"/>
      <c r="F149" s="5" t="s">
        <v>793</v>
      </c>
    </row>
    <row r="150" spans="1:6" x14ac:dyDescent="0.3">
      <c r="A150" s="5"/>
      <c r="B150" s="5" t="s">
        <v>43</v>
      </c>
      <c r="C150" s="5" t="s">
        <v>31</v>
      </c>
      <c r="D150" s="5"/>
      <c r="E150" s="5"/>
      <c r="F150" s="5" t="s">
        <v>794</v>
      </c>
    </row>
    <row r="151" spans="1:6" x14ac:dyDescent="0.3">
      <c r="A151" s="5"/>
      <c r="B151" s="5" t="s">
        <v>43</v>
      </c>
      <c r="C151" s="5" t="s">
        <v>32</v>
      </c>
      <c r="D151" s="5"/>
      <c r="E151" s="5"/>
      <c r="F151" s="5" t="s">
        <v>795</v>
      </c>
    </row>
    <row r="152" spans="1:6" x14ac:dyDescent="0.3">
      <c r="A152" s="5"/>
      <c r="B152" s="5" t="s">
        <v>44</v>
      </c>
      <c r="C152" s="5" t="s">
        <v>27</v>
      </c>
      <c r="D152" s="5" t="s">
        <v>673</v>
      </c>
      <c r="E152" s="5" t="s">
        <v>674</v>
      </c>
      <c r="F152" s="5" t="s">
        <v>796</v>
      </c>
    </row>
    <row r="153" spans="1:6" x14ac:dyDescent="0.3">
      <c r="A153" s="5"/>
      <c r="B153" s="5" t="s">
        <v>44</v>
      </c>
      <c r="C153" s="5" t="s">
        <v>28</v>
      </c>
      <c r="D153" s="5"/>
      <c r="E153" s="5"/>
      <c r="F153" s="5" t="s">
        <v>797</v>
      </c>
    </row>
    <row r="154" spans="1:6" x14ac:dyDescent="0.3">
      <c r="A154" s="5"/>
      <c r="B154" s="5" t="s">
        <v>44</v>
      </c>
      <c r="C154" s="5" t="s">
        <v>29</v>
      </c>
      <c r="D154" s="5"/>
      <c r="E154" s="5"/>
      <c r="F154" s="5" t="s">
        <v>798</v>
      </c>
    </row>
    <row r="155" spans="1:6" x14ac:dyDescent="0.3">
      <c r="A155" s="5"/>
      <c r="B155" s="5" t="s">
        <v>44</v>
      </c>
      <c r="C155" s="5" t="s">
        <v>30</v>
      </c>
      <c r="D155" s="5"/>
      <c r="E155" s="5"/>
      <c r="F155" s="5" t="s">
        <v>799</v>
      </c>
    </row>
    <row r="156" spans="1:6" x14ac:dyDescent="0.3">
      <c r="A156" s="5"/>
      <c r="B156" s="5" t="s">
        <v>44</v>
      </c>
      <c r="C156" s="5" t="s">
        <v>31</v>
      </c>
      <c r="D156" s="5"/>
      <c r="E156" s="5"/>
      <c r="F156" s="5" t="s">
        <v>800</v>
      </c>
    </row>
    <row r="157" spans="1:6" x14ac:dyDescent="0.3">
      <c r="A157" s="5"/>
      <c r="B157" s="5" t="s">
        <v>44</v>
      </c>
      <c r="C157" s="5" t="s">
        <v>32</v>
      </c>
      <c r="D157" s="5"/>
      <c r="E157" s="5"/>
      <c r="F157" s="5" t="s">
        <v>801</v>
      </c>
    </row>
    <row r="158" spans="1:6" x14ac:dyDescent="0.3">
      <c r="A158" s="5"/>
      <c r="B158" s="5" t="s">
        <v>45</v>
      </c>
      <c r="C158" s="5" t="s">
        <v>27</v>
      </c>
      <c r="D158" s="5" t="s">
        <v>675</v>
      </c>
      <c r="E158" s="5" t="s">
        <v>676</v>
      </c>
      <c r="F158" s="5" t="s">
        <v>802</v>
      </c>
    </row>
    <row r="159" spans="1:6" x14ac:dyDescent="0.3">
      <c r="A159" s="5"/>
      <c r="B159" s="5" t="s">
        <v>45</v>
      </c>
      <c r="C159" s="5" t="s">
        <v>28</v>
      </c>
      <c r="D159" s="5"/>
      <c r="E159" s="5"/>
      <c r="F159" s="5" t="s">
        <v>803</v>
      </c>
    </row>
    <row r="160" spans="1:6" x14ac:dyDescent="0.3">
      <c r="A160" s="5"/>
      <c r="B160" s="5" t="s">
        <v>45</v>
      </c>
      <c r="C160" s="5" t="s">
        <v>29</v>
      </c>
      <c r="D160" s="5"/>
      <c r="E160" s="5"/>
      <c r="F160" s="5" t="s">
        <v>804</v>
      </c>
    </row>
    <row r="161" spans="1:6" x14ac:dyDescent="0.3">
      <c r="A161" s="5"/>
      <c r="B161" s="5" t="s">
        <v>45</v>
      </c>
      <c r="C161" s="5" t="s">
        <v>30</v>
      </c>
      <c r="D161" s="5"/>
      <c r="E161" s="5"/>
      <c r="F161" s="5" t="s">
        <v>805</v>
      </c>
    </row>
    <row r="162" spans="1:6" x14ac:dyDescent="0.3">
      <c r="A162" s="5"/>
      <c r="B162" s="5" t="s">
        <v>45</v>
      </c>
      <c r="C162" s="5" t="s">
        <v>31</v>
      </c>
      <c r="D162" s="5"/>
      <c r="E162" s="5"/>
      <c r="F162" s="5" t="s">
        <v>806</v>
      </c>
    </row>
    <row r="163" spans="1:6" x14ac:dyDescent="0.3">
      <c r="A163" s="5"/>
      <c r="B163" s="5" t="s">
        <v>45</v>
      </c>
      <c r="C163" s="5" t="s">
        <v>32</v>
      </c>
      <c r="D163" s="5"/>
      <c r="E163" s="5"/>
      <c r="F163" s="5" t="s">
        <v>807</v>
      </c>
    </row>
    <row r="164" spans="1:6" x14ac:dyDescent="0.3">
      <c r="A164" s="5"/>
      <c r="B164" s="5" t="s">
        <v>46</v>
      </c>
      <c r="C164" s="5" t="s">
        <v>27</v>
      </c>
      <c r="D164" s="5" t="s">
        <v>677</v>
      </c>
      <c r="E164" s="5" t="s">
        <v>678</v>
      </c>
      <c r="F164" s="5" t="s">
        <v>808</v>
      </c>
    </row>
    <row r="165" spans="1:6" x14ac:dyDescent="0.3">
      <c r="A165" s="5"/>
      <c r="B165" s="5" t="s">
        <v>46</v>
      </c>
      <c r="C165" s="5" t="s">
        <v>28</v>
      </c>
      <c r="D165" s="5"/>
      <c r="E165" s="5"/>
      <c r="F165" s="5" t="s">
        <v>809</v>
      </c>
    </row>
    <row r="166" spans="1:6" x14ac:dyDescent="0.3">
      <c r="A166" s="5"/>
      <c r="B166" s="5" t="s">
        <v>46</v>
      </c>
      <c r="C166" s="5" t="s">
        <v>29</v>
      </c>
      <c r="D166" s="5"/>
      <c r="E166" s="5"/>
      <c r="F166" s="5" t="s">
        <v>810</v>
      </c>
    </row>
    <row r="167" spans="1:6" x14ac:dyDescent="0.3">
      <c r="A167" s="5"/>
      <c r="B167" s="5" t="s">
        <v>46</v>
      </c>
      <c r="C167" s="5" t="s">
        <v>30</v>
      </c>
      <c r="D167" s="5"/>
      <c r="E167" s="5"/>
      <c r="F167" s="5" t="s">
        <v>811</v>
      </c>
    </row>
    <row r="168" spans="1:6" x14ac:dyDescent="0.3">
      <c r="A168" s="5"/>
      <c r="B168" s="5" t="s">
        <v>46</v>
      </c>
      <c r="C168" s="5" t="s">
        <v>31</v>
      </c>
      <c r="D168" s="5"/>
      <c r="E168" s="5"/>
      <c r="F168" s="5" t="s">
        <v>812</v>
      </c>
    </row>
    <row r="169" spans="1:6" x14ac:dyDescent="0.3">
      <c r="A169" s="5"/>
      <c r="B169" s="5" t="s">
        <v>46</v>
      </c>
      <c r="C169" s="5" t="s">
        <v>32</v>
      </c>
      <c r="D169" s="5"/>
      <c r="E169" s="5"/>
      <c r="F169" s="5" t="s">
        <v>813</v>
      </c>
    </row>
    <row r="170" spans="1:6" x14ac:dyDescent="0.3">
      <c r="A170" s="5"/>
      <c r="B170" s="5" t="s">
        <v>47</v>
      </c>
      <c r="C170" s="5" t="s">
        <v>27</v>
      </c>
      <c r="D170" s="5" t="s">
        <v>679</v>
      </c>
      <c r="E170" s="5" t="s">
        <v>680</v>
      </c>
      <c r="F170" s="5" t="s">
        <v>814</v>
      </c>
    </row>
    <row r="171" spans="1:6" x14ac:dyDescent="0.3">
      <c r="A171" s="5"/>
      <c r="B171" s="5" t="s">
        <v>47</v>
      </c>
      <c r="C171" s="5" t="s">
        <v>28</v>
      </c>
      <c r="D171" s="5"/>
      <c r="E171" s="5"/>
      <c r="F171" s="5" t="s">
        <v>815</v>
      </c>
    </row>
    <row r="172" spans="1:6" x14ac:dyDescent="0.3">
      <c r="A172" s="5"/>
      <c r="B172" s="5" t="s">
        <v>47</v>
      </c>
      <c r="C172" s="5" t="s">
        <v>29</v>
      </c>
      <c r="D172" s="5"/>
      <c r="E172" s="5"/>
      <c r="F172" s="5" t="s">
        <v>816</v>
      </c>
    </row>
    <row r="173" spans="1:6" x14ac:dyDescent="0.3">
      <c r="A173" s="5"/>
      <c r="B173" s="5" t="s">
        <v>47</v>
      </c>
      <c r="C173" s="5" t="s">
        <v>30</v>
      </c>
      <c r="D173" s="5"/>
      <c r="E173" s="5"/>
      <c r="F173" s="5" t="s">
        <v>817</v>
      </c>
    </row>
    <row r="174" spans="1:6" x14ac:dyDescent="0.3">
      <c r="A174" s="5"/>
      <c r="B174" s="5" t="s">
        <v>47</v>
      </c>
      <c r="C174" s="5" t="s">
        <v>31</v>
      </c>
      <c r="D174" s="5"/>
      <c r="E174" s="5"/>
      <c r="F174" s="5" t="s">
        <v>818</v>
      </c>
    </row>
    <row r="175" spans="1:6" x14ac:dyDescent="0.3">
      <c r="A175" s="5"/>
      <c r="B175" s="5" t="s">
        <v>47</v>
      </c>
      <c r="C175" s="5" t="s">
        <v>32</v>
      </c>
      <c r="D175" s="5"/>
      <c r="E175" s="5"/>
      <c r="F175" s="5" t="s">
        <v>819</v>
      </c>
    </row>
    <row r="176" spans="1:6" x14ac:dyDescent="0.3">
      <c r="A176" s="5"/>
      <c r="B176" s="5" t="s">
        <v>48</v>
      </c>
      <c r="C176" s="5" t="s">
        <v>27</v>
      </c>
      <c r="D176" s="5" t="s">
        <v>681</v>
      </c>
      <c r="E176" s="5" t="s">
        <v>682</v>
      </c>
      <c r="F176" s="5" t="s">
        <v>820</v>
      </c>
    </row>
    <row r="177" spans="1:6" x14ac:dyDescent="0.3">
      <c r="A177" s="5"/>
      <c r="B177" s="5" t="s">
        <v>48</v>
      </c>
      <c r="C177" s="5" t="s">
        <v>28</v>
      </c>
      <c r="D177" s="5"/>
      <c r="E177" s="5"/>
      <c r="F177" s="5" t="s">
        <v>821</v>
      </c>
    </row>
    <row r="178" spans="1:6" x14ac:dyDescent="0.3">
      <c r="A178" s="5"/>
      <c r="B178" s="5" t="s">
        <v>48</v>
      </c>
      <c r="C178" s="5" t="s">
        <v>29</v>
      </c>
      <c r="D178" s="5"/>
      <c r="E178" s="5"/>
      <c r="F178" s="5" t="s">
        <v>822</v>
      </c>
    </row>
    <row r="179" spans="1:6" x14ac:dyDescent="0.3">
      <c r="A179" s="5"/>
      <c r="B179" s="5" t="s">
        <v>48</v>
      </c>
      <c r="C179" s="5" t="s">
        <v>30</v>
      </c>
      <c r="D179" s="5"/>
      <c r="E179" s="5"/>
      <c r="F179" s="5" t="s">
        <v>823</v>
      </c>
    </row>
    <row r="180" spans="1:6" x14ac:dyDescent="0.3">
      <c r="A180" s="5"/>
      <c r="B180" s="5" t="s">
        <v>48</v>
      </c>
      <c r="C180" s="5" t="s">
        <v>31</v>
      </c>
      <c r="D180" s="5"/>
      <c r="E180" s="5"/>
      <c r="F180" s="5" t="s">
        <v>824</v>
      </c>
    </row>
    <row r="181" spans="1:6" x14ac:dyDescent="0.3">
      <c r="A181" s="5"/>
      <c r="B181" s="5" t="s">
        <v>48</v>
      </c>
      <c r="C181" s="5" t="s">
        <v>32</v>
      </c>
      <c r="D181" s="5"/>
      <c r="E181" s="5"/>
      <c r="F181" s="5" t="s">
        <v>825</v>
      </c>
    </row>
    <row r="182" spans="1:6" x14ac:dyDescent="0.3">
      <c r="A182" s="5"/>
      <c r="B182" s="5" t="s">
        <v>49</v>
      </c>
      <c r="C182" s="5" t="s">
        <v>27</v>
      </c>
      <c r="D182" s="5" t="s">
        <v>683</v>
      </c>
      <c r="E182" s="5" t="s">
        <v>684</v>
      </c>
      <c r="F182" s="5" t="s">
        <v>826</v>
      </c>
    </row>
    <row r="183" spans="1:6" x14ac:dyDescent="0.3">
      <c r="A183" s="5"/>
      <c r="B183" s="5" t="s">
        <v>49</v>
      </c>
      <c r="C183" s="5" t="s">
        <v>28</v>
      </c>
      <c r="D183" s="5"/>
      <c r="E183" s="5"/>
      <c r="F183" s="5" t="s">
        <v>827</v>
      </c>
    </row>
    <row r="184" spans="1:6" x14ac:dyDescent="0.3">
      <c r="A184" s="5"/>
      <c r="B184" s="5" t="s">
        <v>49</v>
      </c>
      <c r="C184" s="5" t="s">
        <v>29</v>
      </c>
      <c r="D184" s="5"/>
      <c r="E184" s="5"/>
      <c r="F184" s="5" t="s">
        <v>828</v>
      </c>
    </row>
    <row r="185" spans="1:6" x14ac:dyDescent="0.3">
      <c r="A185" s="5"/>
      <c r="B185" s="5" t="s">
        <v>49</v>
      </c>
      <c r="C185" s="5" t="s">
        <v>30</v>
      </c>
      <c r="D185" s="5"/>
      <c r="E185" s="5"/>
      <c r="F185" s="5" t="s">
        <v>829</v>
      </c>
    </row>
    <row r="186" spans="1:6" x14ac:dyDescent="0.3">
      <c r="A186" s="5"/>
      <c r="B186" s="5" t="s">
        <v>49</v>
      </c>
      <c r="C186" s="5" t="s">
        <v>31</v>
      </c>
      <c r="D186" s="5"/>
      <c r="E186" s="5"/>
      <c r="F186" s="5" t="s">
        <v>830</v>
      </c>
    </row>
    <row r="187" spans="1:6" x14ac:dyDescent="0.3">
      <c r="A187" s="5"/>
      <c r="B187" s="5" t="s">
        <v>49</v>
      </c>
      <c r="C187" s="5" t="s">
        <v>32</v>
      </c>
      <c r="D187" s="5"/>
      <c r="E187" s="5"/>
      <c r="F187" s="5" t="s">
        <v>831</v>
      </c>
    </row>
    <row r="188" spans="1:6" x14ac:dyDescent="0.3">
      <c r="A188" s="5"/>
      <c r="B188" s="5" t="s">
        <v>50</v>
      </c>
      <c r="C188" s="5" t="s">
        <v>27</v>
      </c>
      <c r="D188" s="5" t="s">
        <v>685</v>
      </c>
      <c r="E188" s="5" t="s">
        <v>686</v>
      </c>
      <c r="F188" s="5" t="s">
        <v>832</v>
      </c>
    </row>
    <row r="189" spans="1:6" x14ac:dyDescent="0.3">
      <c r="A189" s="5"/>
      <c r="B189" s="5" t="s">
        <v>50</v>
      </c>
      <c r="C189" s="5" t="s">
        <v>28</v>
      </c>
      <c r="D189" s="5"/>
      <c r="E189" s="5"/>
      <c r="F189" s="5" t="s">
        <v>833</v>
      </c>
    </row>
    <row r="190" spans="1:6" x14ac:dyDescent="0.3">
      <c r="A190" s="5"/>
      <c r="B190" s="5" t="s">
        <v>50</v>
      </c>
      <c r="C190" s="5" t="s">
        <v>29</v>
      </c>
      <c r="D190" s="5"/>
      <c r="E190" s="5"/>
      <c r="F190" s="5" t="s">
        <v>834</v>
      </c>
    </row>
    <row r="191" spans="1:6" x14ac:dyDescent="0.3">
      <c r="A191" s="5"/>
      <c r="B191" s="5" t="s">
        <v>50</v>
      </c>
      <c r="C191" s="5" t="s">
        <v>30</v>
      </c>
      <c r="D191" s="5"/>
      <c r="E191" s="5"/>
      <c r="F191" s="5" t="s">
        <v>835</v>
      </c>
    </row>
    <row r="192" spans="1:6" x14ac:dyDescent="0.3">
      <c r="A192" s="5"/>
      <c r="B192" s="5" t="s">
        <v>50</v>
      </c>
      <c r="C192" s="5" t="s">
        <v>31</v>
      </c>
      <c r="D192" s="5"/>
      <c r="E192" s="5"/>
      <c r="F192" s="5" t="s">
        <v>836</v>
      </c>
    </row>
    <row r="193" spans="1:6" x14ac:dyDescent="0.3">
      <c r="A193" s="5"/>
      <c r="B193" s="5" t="s">
        <v>50</v>
      </c>
      <c r="C193" s="5" t="s">
        <v>32</v>
      </c>
      <c r="D193" s="5"/>
      <c r="E193" s="5"/>
      <c r="F193" s="5" t="s">
        <v>837</v>
      </c>
    </row>
    <row r="194" spans="1:6" x14ac:dyDescent="0.3">
      <c r="A194" s="5"/>
      <c r="B194" s="5" t="s">
        <v>51</v>
      </c>
      <c r="C194" s="5" t="s">
        <v>27</v>
      </c>
      <c r="D194" s="5" t="s">
        <v>687</v>
      </c>
      <c r="E194" s="5" t="s">
        <v>688</v>
      </c>
      <c r="F194" s="5" t="s">
        <v>838</v>
      </c>
    </row>
    <row r="195" spans="1:6" x14ac:dyDescent="0.3">
      <c r="A195" s="5"/>
      <c r="B195" s="5" t="s">
        <v>51</v>
      </c>
      <c r="C195" s="5" t="s">
        <v>28</v>
      </c>
      <c r="D195" s="5"/>
      <c r="E195" s="5"/>
      <c r="F195" s="5" t="s">
        <v>839</v>
      </c>
    </row>
    <row r="196" spans="1:6" x14ac:dyDescent="0.3">
      <c r="A196" s="5"/>
      <c r="B196" s="5" t="s">
        <v>51</v>
      </c>
      <c r="C196" s="5" t="s">
        <v>29</v>
      </c>
      <c r="D196" s="5"/>
      <c r="E196" s="5"/>
      <c r="F196" s="5" t="s">
        <v>840</v>
      </c>
    </row>
    <row r="197" spans="1:6" x14ac:dyDescent="0.3">
      <c r="A197" s="5"/>
      <c r="B197" s="5" t="s">
        <v>51</v>
      </c>
      <c r="C197" s="5" t="s">
        <v>30</v>
      </c>
      <c r="D197" s="5"/>
      <c r="E197" s="5"/>
      <c r="F197" s="5" t="s">
        <v>841</v>
      </c>
    </row>
    <row r="198" spans="1:6" x14ac:dyDescent="0.3">
      <c r="A198" s="5"/>
      <c r="B198" s="5" t="s">
        <v>51</v>
      </c>
      <c r="C198" s="5" t="s">
        <v>31</v>
      </c>
      <c r="D198" s="5"/>
      <c r="E198" s="5"/>
      <c r="F198" s="5" t="s">
        <v>842</v>
      </c>
    </row>
    <row r="199" spans="1:6" x14ac:dyDescent="0.3">
      <c r="A199" s="5"/>
      <c r="B199" s="5" t="s">
        <v>51</v>
      </c>
      <c r="C199" s="5" t="s">
        <v>32</v>
      </c>
      <c r="D199" s="5"/>
      <c r="E199" s="5"/>
      <c r="F199" s="5" t="s">
        <v>843</v>
      </c>
    </row>
    <row r="200" spans="1:6" x14ac:dyDescent="0.3">
      <c r="A200" s="5"/>
      <c r="B200" s="5" t="s">
        <v>52</v>
      </c>
      <c r="C200" s="5" t="s">
        <v>27</v>
      </c>
      <c r="D200" s="5" t="s">
        <v>689</v>
      </c>
      <c r="E200" s="5" t="s">
        <v>690</v>
      </c>
      <c r="F200" s="5" t="s">
        <v>844</v>
      </c>
    </row>
    <row r="201" spans="1:6" x14ac:dyDescent="0.3">
      <c r="A201" s="5"/>
      <c r="B201" s="5" t="s">
        <v>52</v>
      </c>
      <c r="C201" s="5" t="s">
        <v>28</v>
      </c>
      <c r="D201" s="5"/>
      <c r="E201" s="5"/>
      <c r="F201" s="5" t="s">
        <v>845</v>
      </c>
    </row>
    <row r="202" spans="1:6" x14ac:dyDescent="0.3">
      <c r="A202" s="5"/>
      <c r="B202" s="5" t="s">
        <v>52</v>
      </c>
      <c r="C202" s="5" t="s">
        <v>29</v>
      </c>
      <c r="D202" s="5"/>
      <c r="E202" s="5"/>
      <c r="F202" s="5" t="s">
        <v>846</v>
      </c>
    </row>
    <row r="203" spans="1:6" x14ac:dyDescent="0.3">
      <c r="A203" s="5"/>
      <c r="B203" s="5" t="s">
        <v>52</v>
      </c>
      <c r="C203" s="5" t="s">
        <v>30</v>
      </c>
      <c r="D203" s="5"/>
      <c r="E203" s="5"/>
      <c r="F203" s="5" t="s">
        <v>847</v>
      </c>
    </row>
    <row r="204" spans="1:6" x14ac:dyDescent="0.3">
      <c r="A204" s="5"/>
      <c r="B204" s="5" t="s">
        <v>52</v>
      </c>
      <c r="C204" s="5" t="s">
        <v>31</v>
      </c>
      <c r="D204" s="5"/>
      <c r="E204" s="5"/>
      <c r="F204" s="5" t="s">
        <v>848</v>
      </c>
    </row>
    <row r="205" spans="1:6" x14ac:dyDescent="0.3">
      <c r="A205" s="5"/>
      <c r="B205" s="5" t="s">
        <v>52</v>
      </c>
      <c r="C205" s="5" t="s">
        <v>32</v>
      </c>
      <c r="D205" s="5"/>
      <c r="E205" s="5"/>
      <c r="F205" s="5" t="s">
        <v>849</v>
      </c>
    </row>
    <row r="206" spans="1:6" x14ac:dyDescent="0.3">
      <c r="A206" s="5" t="s">
        <v>8</v>
      </c>
      <c r="B206" s="5" t="s">
        <v>53</v>
      </c>
      <c r="C206" s="5" t="s">
        <v>27</v>
      </c>
      <c r="D206" s="5" t="s">
        <v>691</v>
      </c>
      <c r="E206" s="5" t="s">
        <v>692</v>
      </c>
      <c r="F206" s="5" t="s">
        <v>790</v>
      </c>
    </row>
    <row r="207" spans="1:6" x14ac:dyDescent="0.3">
      <c r="A207" s="5"/>
      <c r="B207" s="5" t="s">
        <v>53</v>
      </c>
      <c r="C207" s="5" t="s">
        <v>28</v>
      </c>
      <c r="D207" s="5"/>
      <c r="E207" s="5"/>
      <c r="F207" s="5" t="s">
        <v>791</v>
      </c>
    </row>
    <row r="208" spans="1:6" x14ac:dyDescent="0.3">
      <c r="A208" s="5"/>
      <c r="B208" s="5" t="s">
        <v>53</v>
      </c>
      <c r="C208" s="5" t="s">
        <v>29</v>
      </c>
      <c r="D208" s="5"/>
      <c r="E208" s="5"/>
      <c r="F208" s="5" t="s">
        <v>792</v>
      </c>
    </row>
    <row r="209" spans="1:6" x14ac:dyDescent="0.3">
      <c r="A209" s="5"/>
      <c r="B209" s="5" t="s">
        <v>53</v>
      </c>
      <c r="C209" s="5" t="s">
        <v>30</v>
      </c>
      <c r="D209" s="5"/>
      <c r="E209" s="5"/>
      <c r="F209" s="5" t="s">
        <v>793</v>
      </c>
    </row>
    <row r="210" spans="1:6" x14ac:dyDescent="0.3">
      <c r="A210" s="5"/>
      <c r="B210" s="5" t="s">
        <v>53</v>
      </c>
      <c r="C210" s="5" t="s">
        <v>31</v>
      </c>
      <c r="D210" s="5"/>
      <c r="E210" s="5"/>
      <c r="F210" s="5" t="s">
        <v>794</v>
      </c>
    </row>
    <row r="211" spans="1:6" x14ac:dyDescent="0.3">
      <c r="A211" s="5"/>
      <c r="B211" s="5" t="s">
        <v>53</v>
      </c>
      <c r="C211" s="5" t="s">
        <v>32</v>
      </c>
      <c r="D211" s="5"/>
      <c r="E211" s="5"/>
      <c r="F211" s="5" t="s">
        <v>795</v>
      </c>
    </row>
    <row r="212" spans="1:6" x14ac:dyDescent="0.3">
      <c r="A212" s="5"/>
      <c r="B212" s="5" t="s">
        <v>54</v>
      </c>
      <c r="C212" s="5" t="s">
        <v>27</v>
      </c>
      <c r="D212" s="5" t="s">
        <v>693</v>
      </c>
      <c r="E212" s="5" t="s">
        <v>665</v>
      </c>
      <c r="F212" s="5" t="s">
        <v>796</v>
      </c>
    </row>
    <row r="213" spans="1:6" x14ac:dyDescent="0.3">
      <c r="A213" s="5"/>
      <c r="B213" s="5" t="s">
        <v>54</v>
      </c>
      <c r="C213" s="5" t="s">
        <v>28</v>
      </c>
      <c r="D213" s="5"/>
      <c r="E213" s="5"/>
      <c r="F213" s="5" t="s">
        <v>797</v>
      </c>
    </row>
    <row r="214" spans="1:6" x14ac:dyDescent="0.3">
      <c r="A214" s="5"/>
      <c r="B214" s="5" t="s">
        <v>54</v>
      </c>
      <c r="C214" s="5" t="s">
        <v>29</v>
      </c>
      <c r="D214" s="5"/>
      <c r="E214" s="5"/>
      <c r="F214" s="5" t="s">
        <v>798</v>
      </c>
    </row>
    <row r="215" spans="1:6" x14ac:dyDescent="0.3">
      <c r="A215" s="5"/>
      <c r="B215" s="5" t="s">
        <v>54</v>
      </c>
      <c r="C215" s="5" t="s">
        <v>30</v>
      </c>
      <c r="D215" s="5"/>
      <c r="E215" s="5"/>
      <c r="F215" s="5" t="s">
        <v>799</v>
      </c>
    </row>
    <row r="216" spans="1:6" x14ac:dyDescent="0.3">
      <c r="A216" s="5"/>
      <c r="B216" s="5" t="s">
        <v>54</v>
      </c>
      <c r="C216" s="5" t="s">
        <v>31</v>
      </c>
      <c r="D216" s="5"/>
      <c r="E216" s="5"/>
      <c r="F216" s="5" t="s">
        <v>800</v>
      </c>
    </row>
    <row r="217" spans="1:6" x14ac:dyDescent="0.3">
      <c r="A217" s="5"/>
      <c r="B217" s="5" t="s">
        <v>54</v>
      </c>
      <c r="C217" s="5" t="s">
        <v>32</v>
      </c>
      <c r="D217" s="5"/>
      <c r="E217" s="5"/>
      <c r="F217" s="5" t="s">
        <v>801</v>
      </c>
    </row>
    <row r="218" spans="1:6" x14ac:dyDescent="0.3">
      <c r="A218" s="5"/>
      <c r="B218" s="5" t="s">
        <v>55</v>
      </c>
      <c r="C218" s="5" t="s">
        <v>27</v>
      </c>
      <c r="D218" s="5" t="s">
        <v>694</v>
      </c>
      <c r="E218" s="5" t="s">
        <v>695</v>
      </c>
      <c r="F218" s="5" t="s">
        <v>802</v>
      </c>
    </row>
    <row r="219" spans="1:6" x14ac:dyDescent="0.3">
      <c r="A219" s="5"/>
      <c r="B219" s="5" t="s">
        <v>55</v>
      </c>
      <c r="C219" s="5" t="s">
        <v>28</v>
      </c>
      <c r="D219" s="5"/>
      <c r="E219" s="5"/>
      <c r="F219" s="5" t="s">
        <v>803</v>
      </c>
    </row>
    <row r="220" spans="1:6" x14ac:dyDescent="0.3">
      <c r="A220" s="5"/>
      <c r="B220" s="5" t="s">
        <v>55</v>
      </c>
      <c r="C220" s="5" t="s">
        <v>29</v>
      </c>
      <c r="D220" s="5"/>
      <c r="E220" s="5"/>
      <c r="F220" s="5" t="s">
        <v>804</v>
      </c>
    </row>
    <row r="221" spans="1:6" x14ac:dyDescent="0.3">
      <c r="A221" s="5"/>
      <c r="B221" s="5" t="s">
        <v>55</v>
      </c>
      <c r="C221" s="5" t="s">
        <v>30</v>
      </c>
      <c r="D221" s="5"/>
      <c r="E221" s="5"/>
      <c r="F221" s="5" t="s">
        <v>805</v>
      </c>
    </row>
    <row r="222" spans="1:6" x14ac:dyDescent="0.3">
      <c r="A222" s="5"/>
      <c r="B222" s="5" t="s">
        <v>55</v>
      </c>
      <c r="C222" s="5" t="s">
        <v>31</v>
      </c>
      <c r="D222" s="5"/>
      <c r="E222" s="5"/>
      <c r="F222" s="5" t="s">
        <v>806</v>
      </c>
    </row>
    <row r="223" spans="1:6" x14ac:dyDescent="0.3">
      <c r="A223" s="5"/>
      <c r="B223" s="5" t="s">
        <v>55</v>
      </c>
      <c r="C223" s="5" t="s">
        <v>32</v>
      </c>
      <c r="D223" s="5"/>
      <c r="E223" s="5"/>
      <c r="F223" s="5" t="s">
        <v>807</v>
      </c>
    </row>
    <row r="224" spans="1:6" x14ac:dyDescent="0.3">
      <c r="A224" s="5"/>
      <c r="B224" s="5" t="s">
        <v>56</v>
      </c>
      <c r="C224" s="5" t="s">
        <v>27</v>
      </c>
      <c r="D224" s="5" t="s">
        <v>696</v>
      </c>
      <c r="E224" s="5" t="s">
        <v>697</v>
      </c>
      <c r="F224" s="5" t="s">
        <v>808</v>
      </c>
    </row>
    <row r="225" spans="1:6" x14ac:dyDescent="0.3">
      <c r="A225" s="5"/>
      <c r="B225" s="5" t="s">
        <v>56</v>
      </c>
      <c r="C225" s="5" t="s">
        <v>28</v>
      </c>
      <c r="D225" s="5"/>
      <c r="E225" s="5"/>
      <c r="F225" s="5" t="s">
        <v>809</v>
      </c>
    </row>
    <row r="226" spans="1:6" x14ac:dyDescent="0.3">
      <c r="A226" s="5"/>
      <c r="B226" s="5" t="s">
        <v>56</v>
      </c>
      <c r="C226" s="5" t="s">
        <v>29</v>
      </c>
      <c r="D226" s="5"/>
      <c r="E226" s="5"/>
      <c r="F226" s="5" t="s">
        <v>810</v>
      </c>
    </row>
    <row r="227" spans="1:6" x14ac:dyDescent="0.3">
      <c r="A227" s="5"/>
      <c r="B227" s="5" t="s">
        <v>56</v>
      </c>
      <c r="C227" s="5" t="s">
        <v>30</v>
      </c>
      <c r="D227" s="5"/>
      <c r="E227" s="5"/>
      <c r="F227" s="5" t="s">
        <v>811</v>
      </c>
    </row>
    <row r="228" spans="1:6" x14ac:dyDescent="0.3">
      <c r="A228" s="5"/>
      <c r="B228" s="5" t="s">
        <v>56</v>
      </c>
      <c r="C228" s="5" t="s">
        <v>31</v>
      </c>
      <c r="D228" s="5"/>
      <c r="E228" s="5"/>
      <c r="F228" s="5" t="s">
        <v>812</v>
      </c>
    </row>
    <row r="229" spans="1:6" x14ac:dyDescent="0.3">
      <c r="A229" s="5"/>
      <c r="B229" s="5" t="s">
        <v>56</v>
      </c>
      <c r="C229" s="5" t="s">
        <v>32</v>
      </c>
      <c r="D229" s="5"/>
      <c r="E229" s="5"/>
      <c r="F229" s="5" t="s">
        <v>813</v>
      </c>
    </row>
    <row r="230" spans="1:6" x14ac:dyDescent="0.3">
      <c r="A230" s="5"/>
      <c r="B230" s="5" t="s">
        <v>57</v>
      </c>
      <c r="C230" s="5" t="s">
        <v>27</v>
      </c>
      <c r="D230" s="5" t="s">
        <v>698</v>
      </c>
      <c r="E230" s="5" t="s">
        <v>699</v>
      </c>
      <c r="F230" s="5" t="s">
        <v>814</v>
      </c>
    </row>
    <row r="231" spans="1:6" x14ac:dyDescent="0.3">
      <c r="A231" s="5"/>
      <c r="B231" s="5" t="s">
        <v>57</v>
      </c>
      <c r="C231" s="5" t="s">
        <v>28</v>
      </c>
      <c r="D231" s="5"/>
      <c r="E231" s="5"/>
      <c r="F231" s="5" t="s">
        <v>815</v>
      </c>
    </row>
    <row r="232" spans="1:6" x14ac:dyDescent="0.3">
      <c r="A232" s="5"/>
      <c r="B232" s="5" t="s">
        <v>57</v>
      </c>
      <c r="C232" s="5" t="s">
        <v>29</v>
      </c>
      <c r="D232" s="5"/>
      <c r="E232" s="5"/>
      <c r="F232" s="5" t="s">
        <v>816</v>
      </c>
    </row>
    <row r="233" spans="1:6" x14ac:dyDescent="0.3">
      <c r="A233" s="5"/>
      <c r="B233" s="5" t="s">
        <v>57</v>
      </c>
      <c r="C233" s="5" t="s">
        <v>30</v>
      </c>
      <c r="D233" s="5"/>
      <c r="E233" s="5"/>
      <c r="F233" s="5" t="s">
        <v>817</v>
      </c>
    </row>
    <row r="234" spans="1:6" x14ac:dyDescent="0.3">
      <c r="A234" s="5"/>
      <c r="B234" s="5" t="s">
        <v>57</v>
      </c>
      <c r="C234" s="5" t="s">
        <v>31</v>
      </c>
      <c r="D234" s="5"/>
      <c r="E234" s="5"/>
      <c r="F234" s="5" t="s">
        <v>818</v>
      </c>
    </row>
    <row r="235" spans="1:6" x14ac:dyDescent="0.3">
      <c r="A235" s="5"/>
      <c r="B235" s="5" t="s">
        <v>57</v>
      </c>
      <c r="C235" s="5" t="s">
        <v>32</v>
      </c>
      <c r="D235" s="5"/>
      <c r="E235" s="5"/>
      <c r="F235" s="5" t="s">
        <v>819</v>
      </c>
    </row>
    <row r="236" spans="1:6" x14ac:dyDescent="0.3">
      <c r="A236" s="5"/>
      <c r="B236" s="5" t="s">
        <v>58</v>
      </c>
      <c r="C236" s="5" t="s">
        <v>27</v>
      </c>
      <c r="D236" s="5" t="s">
        <v>700</v>
      </c>
      <c r="E236" s="5" t="s">
        <v>701</v>
      </c>
      <c r="F236" s="5" t="s">
        <v>820</v>
      </c>
    </row>
    <row r="237" spans="1:6" x14ac:dyDescent="0.3">
      <c r="A237" s="5"/>
      <c r="B237" s="5" t="s">
        <v>58</v>
      </c>
      <c r="C237" s="5" t="s">
        <v>28</v>
      </c>
      <c r="D237" s="5"/>
      <c r="E237" s="5"/>
      <c r="F237" s="5" t="s">
        <v>821</v>
      </c>
    </row>
    <row r="238" spans="1:6" x14ac:dyDescent="0.3">
      <c r="A238" s="5"/>
      <c r="B238" s="5" t="s">
        <v>58</v>
      </c>
      <c r="C238" s="5" t="s">
        <v>29</v>
      </c>
      <c r="D238" s="5"/>
      <c r="E238" s="5"/>
      <c r="F238" s="5" t="s">
        <v>822</v>
      </c>
    </row>
    <row r="239" spans="1:6" x14ac:dyDescent="0.3">
      <c r="A239" s="5"/>
      <c r="B239" s="5" t="s">
        <v>58</v>
      </c>
      <c r="C239" s="5" t="s">
        <v>30</v>
      </c>
      <c r="D239" s="5"/>
      <c r="E239" s="5"/>
      <c r="F239" s="5" t="s">
        <v>823</v>
      </c>
    </row>
    <row r="240" spans="1:6" x14ac:dyDescent="0.3">
      <c r="A240" s="5"/>
      <c r="B240" s="5" t="s">
        <v>58</v>
      </c>
      <c r="C240" s="5" t="s">
        <v>31</v>
      </c>
      <c r="D240" s="5"/>
      <c r="E240" s="5"/>
      <c r="F240" s="5" t="s">
        <v>824</v>
      </c>
    </row>
    <row r="241" spans="1:6" x14ac:dyDescent="0.3">
      <c r="A241" s="5"/>
      <c r="B241" s="5" t="s">
        <v>58</v>
      </c>
      <c r="C241" s="5" t="s">
        <v>32</v>
      </c>
      <c r="D241" s="5"/>
      <c r="E241" s="5"/>
      <c r="F241" s="5" t="s">
        <v>825</v>
      </c>
    </row>
    <row r="242" spans="1:6" x14ac:dyDescent="0.3">
      <c r="A242" s="5"/>
      <c r="B242" s="5" t="s">
        <v>59</v>
      </c>
      <c r="C242" s="5" t="s">
        <v>27</v>
      </c>
      <c r="D242" s="5" t="s">
        <v>702</v>
      </c>
      <c r="E242" s="5" t="s">
        <v>703</v>
      </c>
      <c r="F242" s="5" t="s">
        <v>826</v>
      </c>
    </row>
    <row r="243" spans="1:6" x14ac:dyDescent="0.3">
      <c r="A243" s="5"/>
      <c r="B243" s="5" t="s">
        <v>59</v>
      </c>
      <c r="C243" s="5" t="s">
        <v>28</v>
      </c>
      <c r="D243" s="5"/>
      <c r="E243" s="5"/>
      <c r="F243" s="5" t="s">
        <v>827</v>
      </c>
    </row>
    <row r="244" spans="1:6" x14ac:dyDescent="0.3">
      <c r="A244" s="5"/>
      <c r="B244" s="5" t="s">
        <v>59</v>
      </c>
      <c r="C244" s="5" t="s">
        <v>29</v>
      </c>
      <c r="D244" s="5"/>
      <c r="E244" s="5"/>
      <c r="F244" s="5" t="s">
        <v>828</v>
      </c>
    </row>
    <row r="245" spans="1:6" x14ac:dyDescent="0.3">
      <c r="A245" s="5"/>
      <c r="B245" s="5" t="s">
        <v>59</v>
      </c>
      <c r="C245" s="5" t="s">
        <v>30</v>
      </c>
      <c r="D245" s="5"/>
      <c r="E245" s="5"/>
      <c r="F245" s="5" t="s">
        <v>829</v>
      </c>
    </row>
    <row r="246" spans="1:6" x14ac:dyDescent="0.3">
      <c r="A246" s="5"/>
      <c r="B246" s="5" t="s">
        <v>59</v>
      </c>
      <c r="C246" s="5" t="s">
        <v>31</v>
      </c>
      <c r="D246" s="5"/>
      <c r="E246" s="5"/>
      <c r="F246" s="5" t="s">
        <v>830</v>
      </c>
    </row>
    <row r="247" spans="1:6" x14ac:dyDescent="0.3">
      <c r="A247" s="5"/>
      <c r="B247" s="5" t="s">
        <v>59</v>
      </c>
      <c r="C247" s="5" t="s">
        <v>32</v>
      </c>
      <c r="D247" s="5"/>
      <c r="E247" s="5"/>
      <c r="F247" s="5" t="s">
        <v>831</v>
      </c>
    </row>
    <row r="248" spans="1:6" x14ac:dyDescent="0.3">
      <c r="A248" s="5"/>
      <c r="B248" s="5" t="s">
        <v>60</v>
      </c>
      <c r="C248" s="5" t="s">
        <v>27</v>
      </c>
      <c r="D248" s="5" t="s">
        <v>704</v>
      </c>
      <c r="E248" s="5" t="s">
        <v>705</v>
      </c>
      <c r="F248" s="5" t="s">
        <v>832</v>
      </c>
    </row>
    <row r="249" spans="1:6" x14ac:dyDescent="0.3">
      <c r="A249" s="5"/>
      <c r="B249" s="5" t="s">
        <v>60</v>
      </c>
      <c r="C249" s="5" t="s">
        <v>28</v>
      </c>
      <c r="D249" s="5"/>
      <c r="E249" s="5"/>
      <c r="F249" s="5" t="s">
        <v>833</v>
      </c>
    </row>
    <row r="250" spans="1:6" x14ac:dyDescent="0.3">
      <c r="A250" s="5"/>
      <c r="B250" s="5" t="s">
        <v>60</v>
      </c>
      <c r="C250" s="5" t="s">
        <v>29</v>
      </c>
      <c r="D250" s="5"/>
      <c r="E250" s="5"/>
      <c r="F250" s="5" t="s">
        <v>834</v>
      </c>
    </row>
    <row r="251" spans="1:6" x14ac:dyDescent="0.3">
      <c r="A251" s="5"/>
      <c r="B251" s="5" t="s">
        <v>60</v>
      </c>
      <c r="C251" s="5" t="s">
        <v>30</v>
      </c>
      <c r="D251" s="5"/>
      <c r="E251" s="5"/>
      <c r="F251" s="5" t="s">
        <v>835</v>
      </c>
    </row>
    <row r="252" spans="1:6" x14ac:dyDescent="0.3">
      <c r="A252" s="5"/>
      <c r="B252" s="5" t="s">
        <v>60</v>
      </c>
      <c r="C252" s="5" t="s">
        <v>31</v>
      </c>
      <c r="D252" s="5"/>
      <c r="E252" s="5"/>
      <c r="F252" s="5" t="s">
        <v>836</v>
      </c>
    </row>
    <row r="253" spans="1:6" x14ac:dyDescent="0.3">
      <c r="A253" s="5"/>
      <c r="B253" s="5" t="s">
        <v>60</v>
      </c>
      <c r="C253" s="5" t="s">
        <v>32</v>
      </c>
      <c r="D253" s="5"/>
      <c r="E253" s="5"/>
      <c r="F253" s="5" t="s">
        <v>837</v>
      </c>
    </row>
    <row r="254" spans="1:6" x14ac:dyDescent="0.3">
      <c r="A254" s="5"/>
      <c r="B254" s="5" t="s">
        <v>61</v>
      </c>
      <c r="C254" s="5" t="s">
        <v>27</v>
      </c>
      <c r="D254" s="5" t="s">
        <v>706</v>
      </c>
      <c r="E254" s="5" t="s">
        <v>707</v>
      </c>
      <c r="F254" s="5" t="s">
        <v>838</v>
      </c>
    </row>
    <row r="255" spans="1:6" x14ac:dyDescent="0.3">
      <c r="A255" s="5"/>
      <c r="B255" s="5" t="s">
        <v>61</v>
      </c>
      <c r="C255" s="5" t="s">
        <v>28</v>
      </c>
      <c r="D255" s="5"/>
      <c r="E255" s="5"/>
      <c r="F255" s="5" t="s">
        <v>839</v>
      </c>
    </row>
    <row r="256" spans="1:6" x14ac:dyDescent="0.3">
      <c r="A256" s="5"/>
      <c r="B256" s="5" t="s">
        <v>61</v>
      </c>
      <c r="C256" s="5" t="s">
        <v>29</v>
      </c>
      <c r="D256" s="5"/>
      <c r="E256" s="5"/>
      <c r="F256" s="5" t="s">
        <v>840</v>
      </c>
    </row>
    <row r="257" spans="1:6" x14ac:dyDescent="0.3">
      <c r="A257" s="5"/>
      <c r="B257" s="5" t="s">
        <v>61</v>
      </c>
      <c r="C257" s="5" t="s">
        <v>30</v>
      </c>
      <c r="D257" s="5"/>
      <c r="E257" s="5"/>
      <c r="F257" s="5" t="s">
        <v>841</v>
      </c>
    </row>
    <row r="258" spans="1:6" x14ac:dyDescent="0.3">
      <c r="A258" s="5"/>
      <c r="B258" s="5" t="s">
        <v>61</v>
      </c>
      <c r="C258" s="5" t="s">
        <v>31</v>
      </c>
      <c r="D258" s="5"/>
      <c r="E258" s="5"/>
      <c r="F258" s="5" t="s">
        <v>842</v>
      </c>
    </row>
    <row r="259" spans="1:6" x14ac:dyDescent="0.3">
      <c r="A259" s="5"/>
      <c r="B259" s="5" t="s">
        <v>61</v>
      </c>
      <c r="C259" s="5" t="s">
        <v>32</v>
      </c>
      <c r="D259" s="5"/>
      <c r="E259" s="5"/>
      <c r="F259" s="5" t="s">
        <v>843</v>
      </c>
    </row>
    <row r="260" spans="1:6" x14ac:dyDescent="0.3">
      <c r="A260" s="5"/>
      <c r="B260" s="5" t="s">
        <v>62</v>
      </c>
      <c r="C260" s="5" t="s">
        <v>27</v>
      </c>
      <c r="D260" s="5" t="s">
        <v>708</v>
      </c>
      <c r="E260" s="5" t="s">
        <v>709</v>
      </c>
      <c r="F260" s="5" t="s">
        <v>844</v>
      </c>
    </row>
    <row r="261" spans="1:6" x14ac:dyDescent="0.3">
      <c r="A261" s="5"/>
      <c r="B261" s="5" t="s">
        <v>62</v>
      </c>
      <c r="C261" s="5" t="s">
        <v>28</v>
      </c>
      <c r="D261" s="5"/>
      <c r="E261" s="5"/>
      <c r="F261" s="5" t="s">
        <v>845</v>
      </c>
    </row>
    <row r="262" spans="1:6" x14ac:dyDescent="0.3">
      <c r="A262" s="5"/>
      <c r="B262" s="5" t="s">
        <v>62</v>
      </c>
      <c r="C262" s="5" t="s">
        <v>29</v>
      </c>
      <c r="D262" s="5"/>
      <c r="E262" s="5"/>
      <c r="F262" s="5" t="s">
        <v>846</v>
      </c>
    </row>
    <row r="263" spans="1:6" x14ac:dyDescent="0.3">
      <c r="A263" s="5"/>
      <c r="B263" s="5" t="s">
        <v>62</v>
      </c>
      <c r="C263" s="5" t="s">
        <v>30</v>
      </c>
      <c r="D263" s="5"/>
      <c r="E263" s="5"/>
      <c r="F263" s="5" t="s">
        <v>847</v>
      </c>
    </row>
    <row r="264" spans="1:6" x14ac:dyDescent="0.3">
      <c r="A264" s="5"/>
      <c r="B264" s="5" t="s">
        <v>62</v>
      </c>
      <c r="C264" s="5" t="s">
        <v>31</v>
      </c>
      <c r="D264" s="5"/>
      <c r="E264" s="5"/>
      <c r="F264" s="5" t="s">
        <v>848</v>
      </c>
    </row>
    <row r="265" spans="1:6" x14ac:dyDescent="0.3">
      <c r="A265" s="5"/>
      <c r="B265" s="5" t="s">
        <v>62</v>
      </c>
      <c r="C265" s="5" t="s">
        <v>32</v>
      </c>
      <c r="D265" s="5"/>
      <c r="E265" s="5"/>
      <c r="F265" s="5" t="s">
        <v>849</v>
      </c>
    </row>
    <row r="266" spans="1:6" x14ac:dyDescent="0.3">
      <c r="A266" s="5" t="s">
        <v>9</v>
      </c>
      <c r="B266" s="5" t="s">
        <v>63</v>
      </c>
      <c r="C266" s="5" t="s">
        <v>27</v>
      </c>
      <c r="D266" s="5" t="s">
        <v>710</v>
      </c>
      <c r="E266" s="5" t="s">
        <v>711</v>
      </c>
      <c r="F266" s="5" t="s">
        <v>790</v>
      </c>
    </row>
    <row r="267" spans="1:6" x14ac:dyDescent="0.3">
      <c r="A267" s="5"/>
      <c r="B267" s="5" t="s">
        <v>63</v>
      </c>
      <c r="C267" s="5" t="s">
        <v>28</v>
      </c>
      <c r="D267" s="5"/>
      <c r="E267" s="5"/>
      <c r="F267" s="5" t="s">
        <v>791</v>
      </c>
    </row>
    <row r="268" spans="1:6" x14ac:dyDescent="0.3">
      <c r="A268" s="5"/>
      <c r="B268" s="5" t="s">
        <v>63</v>
      </c>
      <c r="C268" s="5" t="s">
        <v>29</v>
      </c>
      <c r="D268" s="5"/>
      <c r="E268" s="5"/>
      <c r="F268" s="5" t="s">
        <v>792</v>
      </c>
    </row>
    <row r="269" spans="1:6" x14ac:dyDescent="0.3">
      <c r="A269" s="5"/>
      <c r="B269" s="5" t="s">
        <v>63</v>
      </c>
      <c r="C269" s="5" t="s">
        <v>30</v>
      </c>
      <c r="D269" s="5"/>
      <c r="E269" s="5"/>
      <c r="F269" s="5" t="s">
        <v>793</v>
      </c>
    </row>
    <row r="270" spans="1:6" x14ac:dyDescent="0.3">
      <c r="A270" s="5"/>
      <c r="B270" s="5" t="s">
        <v>63</v>
      </c>
      <c r="C270" s="5" t="s">
        <v>31</v>
      </c>
      <c r="D270" s="5"/>
      <c r="E270" s="5"/>
      <c r="F270" s="5" t="s">
        <v>794</v>
      </c>
    </row>
    <row r="271" spans="1:6" x14ac:dyDescent="0.3">
      <c r="A271" s="5"/>
      <c r="B271" s="5" t="s">
        <v>63</v>
      </c>
      <c r="C271" s="5" t="s">
        <v>32</v>
      </c>
      <c r="D271" s="5"/>
      <c r="E271" s="5"/>
      <c r="F271" s="5" t="s">
        <v>795</v>
      </c>
    </row>
    <row r="272" spans="1:6" x14ac:dyDescent="0.3">
      <c r="A272" s="5"/>
      <c r="B272" s="5" t="s">
        <v>64</v>
      </c>
      <c r="C272" s="5" t="s">
        <v>27</v>
      </c>
      <c r="D272" s="5" t="s">
        <v>712</v>
      </c>
      <c r="E272" s="5" t="s">
        <v>713</v>
      </c>
      <c r="F272" s="5" t="s">
        <v>796</v>
      </c>
    </row>
    <row r="273" spans="1:6" x14ac:dyDescent="0.3">
      <c r="A273" s="5"/>
      <c r="B273" s="5" t="s">
        <v>64</v>
      </c>
      <c r="C273" s="5" t="s">
        <v>28</v>
      </c>
      <c r="D273" s="5"/>
      <c r="E273" s="5"/>
      <c r="F273" s="5" t="s">
        <v>797</v>
      </c>
    </row>
    <row r="274" spans="1:6" x14ac:dyDescent="0.3">
      <c r="A274" s="5"/>
      <c r="B274" s="5" t="s">
        <v>64</v>
      </c>
      <c r="C274" s="5" t="s">
        <v>29</v>
      </c>
      <c r="D274" s="5"/>
      <c r="E274" s="5"/>
      <c r="F274" s="5" t="s">
        <v>798</v>
      </c>
    </row>
    <row r="275" spans="1:6" x14ac:dyDescent="0.3">
      <c r="A275" s="5"/>
      <c r="B275" s="5" t="s">
        <v>64</v>
      </c>
      <c r="C275" s="5" t="s">
        <v>30</v>
      </c>
      <c r="D275" s="5"/>
      <c r="E275" s="5"/>
      <c r="F275" s="5" t="s">
        <v>799</v>
      </c>
    </row>
    <row r="276" spans="1:6" x14ac:dyDescent="0.3">
      <c r="A276" s="5"/>
      <c r="B276" s="5" t="s">
        <v>64</v>
      </c>
      <c r="C276" s="5" t="s">
        <v>31</v>
      </c>
      <c r="D276" s="5"/>
      <c r="E276" s="5"/>
      <c r="F276" s="5" t="s">
        <v>800</v>
      </c>
    </row>
    <row r="277" spans="1:6" x14ac:dyDescent="0.3">
      <c r="A277" s="5"/>
      <c r="B277" s="5" t="s">
        <v>64</v>
      </c>
      <c r="C277" s="5" t="s">
        <v>32</v>
      </c>
      <c r="D277" s="5"/>
      <c r="E277" s="5"/>
      <c r="F277" s="5" t="s">
        <v>801</v>
      </c>
    </row>
    <row r="278" spans="1:6" x14ac:dyDescent="0.3">
      <c r="A278" s="5"/>
      <c r="B278" s="5" t="s">
        <v>65</v>
      </c>
      <c r="C278" s="5" t="s">
        <v>27</v>
      </c>
      <c r="D278" s="5" t="s">
        <v>714</v>
      </c>
      <c r="E278" s="5" t="s">
        <v>715</v>
      </c>
      <c r="F278" s="5" t="s">
        <v>802</v>
      </c>
    </row>
    <row r="279" spans="1:6" x14ac:dyDescent="0.3">
      <c r="A279" s="5"/>
      <c r="B279" s="5" t="s">
        <v>65</v>
      </c>
      <c r="C279" s="5" t="s">
        <v>28</v>
      </c>
      <c r="D279" s="5"/>
      <c r="E279" s="5"/>
      <c r="F279" s="5" t="s">
        <v>803</v>
      </c>
    </row>
    <row r="280" spans="1:6" x14ac:dyDescent="0.3">
      <c r="A280" s="5"/>
      <c r="B280" s="5" t="s">
        <v>65</v>
      </c>
      <c r="C280" s="5" t="s">
        <v>29</v>
      </c>
      <c r="D280" s="5"/>
      <c r="E280" s="5"/>
      <c r="F280" s="5" t="s">
        <v>804</v>
      </c>
    </row>
    <row r="281" spans="1:6" x14ac:dyDescent="0.3">
      <c r="A281" s="5"/>
      <c r="B281" s="5" t="s">
        <v>65</v>
      </c>
      <c r="C281" s="5" t="s">
        <v>30</v>
      </c>
      <c r="D281" s="5"/>
      <c r="E281" s="5"/>
      <c r="F281" s="5" t="s">
        <v>805</v>
      </c>
    </row>
    <row r="282" spans="1:6" x14ac:dyDescent="0.3">
      <c r="A282" s="5"/>
      <c r="B282" s="5" t="s">
        <v>65</v>
      </c>
      <c r="C282" s="5" t="s">
        <v>31</v>
      </c>
      <c r="D282" s="5"/>
      <c r="E282" s="5"/>
      <c r="F282" s="5" t="s">
        <v>806</v>
      </c>
    </row>
    <row r="283" spans="1:6" x14ac:dyDescent="0.3">
      <c r="A283" s="5"/>
      <c r="B283" s="5" t="s">
        <v>65</v>
      </c>
      <c r="C283" s="5" t="s">
        <v>32</v>
      </c>
      <c r="D283" s="5"/>
      <c r="E283" s="5"/>
      <c r="F283" s="5" t="s">
        <v>807</v>
      </c>
    </row>
    <row r="284" spans="1:6" x14ac:dyDescent="0.3">
      <c r="A284" s="5"/>
      <c r="B284" s="5" t="s">
        <v>66</v>
      </c>
      <c r="C284" s="5" t="s">
        <v>27</v>
      </c>
      <c r="D284" s="5" t="s">
        <v>716</v>
      </c>
      <c r="E284" s="5" t="s">
        <v>717</v>
      </c>
      <c r="F284" s="5" t="s">
        <v>808</v>
      </c>
    </row>
    <row r="285" spans="1:6" x14ac:dyDescent="0.3">
      <c r="A285" s="5"/>
      <c r="B285" s="5" t="s">
        <v>66</v>
      </c>
      <c r="C285" s="5" t="s">
        <v>28</v>
      </c>
      <c r="D285" s="5"/>
      <c r="E285" s="5"/>
      <c r="F285" s="5" t="s">
        <v>809</v>
      </c>
    </row>
    <row r="286" spans="1:6" x14ac:dyDescent="0.3">
      <c r="A286" s="5"/>
      <c r="B286" s="5" t="s">
        <v>66</v>
      </c>
      <c r="C286" s="5" t="s">
        <v>29</v>
      </c>
      <c r="D286" s="5"/>
      <c r="E286" s="5"/>
      <c r="F286" s="5" t="s">
        <v>810</v>
      </c>
    </row>
    <row r="287" spans="1:6" x14ac:dyDescent="0.3">
      <c r="A287" s="5"/>
      <c r="B287" s="5" t="s">
        <v>66</v>
      </c>
      <c r="C287" s="5" t="s">
        <v>30</v>
      </c>
      <c r="D287" s="5"/>
      <c r="E287" s="5"/>
      <c r="F287" s="5" t="s">
        <v>811</v>
      </c>
    </row>
    <row r="288" spans="1:6" x14ac:dyDescent="0.3">
      <c r="A288" s="5"/>
      <c r="B288" s="5" t="s">
        <v>66</v>
      </c>
      <c r="C288" s="5" t="s">
        <v>31</v>
      </c>
      <c r="D288" s="5"/>
      <c r="E288" s="5"/>
      <c r="F288" s="5" t="s">
        <v>812</v>
      </c>
    </row>
    <row r="289" spans="1:6" x14ac:dyDescent="0.3">
      <c r="A289" s="5"/>
      <c r="B289" s="5" t="s">
        <v>66</v>
      </c>
      <c r="C289" s="5" t="s">
        <v>32</v>
      </c>
      <c r="D289" s="5"/>
      <c r="E289" s="5"/>
      <c r="F289" s="5" t="s">
        <v>813</v>
      </c>
    </row>
    <row r="290" spans="1:6" x14ac:dyDescent="0.3">
      <c r="A290" s="5"/>
      <c r="B290" s="5" t="s">
        <v>67</v>
      </c>
      <c r="C290" s="5" t="s">
        <v>27</v>
      </c>
      <c r="D290" s="5" t="s">
        <v>718</v>
      </c>
      <c r="E290" s="5" t="s">
        <v>719</v>
      </c>
      <c r="F290" s="5" t="s">
        <v>814</v>
      </c>
    </row>
    <row r="291" spans="1:6" x14ac:dyDescent="0.3">
      <c r="A291" s="5"/>
      <c r="B291" s="5" t="s">
        <v>67</v>
      </c>
      <c r="C291" s="5" t="s">
        <v>28</v>
      </c>
      <c r="D291" s="5"/>
      <c r="E291" s="5"/>
      <c r="F291" s="5" t="s">
        <v>815</v>
      </c>
    </row>
    <row r="292" spans="1:6" x14ac:dyDescent="0.3">
      <c r="A292" s="5"/>
      <c r="B292" s="5" t="s">
        <v>67</v>
      </c>
      <c r="C292" s="5" t="s">
        <v>29</v>
      </c>
      <c r="D292" s="5"/>
      <c r="E292" s="5"/>
      <c r="F292" s="5" t="s">
        <v>816</v>
      </c>
    </row>
    <row r="293" spans="1:6" x14ac:dyDescent="0.3">
      <c r="A293" s="5"/>
      <c r="B293" s="5" t="s">
        <v>67</v>
      </c>
      <c r="C293" s="5" t="s">
        <v>30</v>
      </c>
      <c r="D293" s="5"/>
      <c r="E293" s="5"/>
      <c r="F293" s="5" t="s">
        <v>817</v>
      </c>
    </row>
    <row r="294" spans="1:6" x14ac:dyDescent="0.3">
      <c r="A294" s="5"/>
      <c r="B294" s="5" t="s">
        <v>67</v>
      </c>
      <c r="C294" s="5" t="s">
        <v>31</v>
      </c>
      <c r="D294" s="5"/>
      <c r="E294" s="5"/>
      <c r="F294" s="5" t="s">
        <v>818</v>
      </c>
    </row>
    <row r="295" spans="1:6" x14ac:dyDescent="0.3">
      <c r="A295" s="5"/>
      <c r="B295" s="5" t="s">
        <v>67</v>
      </c>
      <c r="C295" s="5" t="s">
        <v>32</v>
      </c>
      <c r="D295" s="5"/>
      <c r="E295" s="5"/>
      <c r="F295" s="5" t="s">
        <v>819</v>
      </c>
    </row>
    <row r="296" spans="1:6" x14ac:dyDescent="0.3">
      <c r="A296" s="5"/>
      <c r="B296" s="5" t="s">
        <v>68</v>
      </c>
      <c r="C296" s="5" t="s">
        <v>27</v>
      </c>
      <c r="D296" s="5" t="s">
        <v>720</v>
      </c>
      <c r="E296" s="5" t="s">
        <v>721</v>
      </c>
      <c r="F296" s="5" t="s">
        <v>820</v>
      </c>
    </row>
    <row r="297" spans="1:6" x14ac:dyDescent="0.3">
      <c r="A297" s="5"/>
      <c r="B297" s="5" t="s">
        <v>68</v>
      </c>
      <c r="C297" s="5" t="s">
        <v>28</v>
      </c>
      <c r="D297" s="5"/>
      <c r="E297" s="5"/>
      <c r="F297" s="5" t="s">
        <v>821</v>
      </c>
    </row>
    <row r="298" spans="1:6" x14ac:dyDescent="0.3">
      <c r="A298" s="5"/>
      <c r="B298" s="5" t="s">
        <v>68</v>
      </c>
      <c r="C298" s="5" t="s">
        <v>29</v>
      </c>
      <c r="D298" s="5"/>
      <c r="E298" s="5"/>
      <c r="F298" s="5" t="s">
        <v>822</v>
      </c>
    </row>
    <row r="299" spans="1:6" x14ac:dyDescent="0.3">
      <c r="A299" s="5"/>
      <c r="B299" s="5" t="s">
        <v>68</v>
      </c>
      <c r="C299" s="5" t="s">
        <v>30</v>
      </c>
      <c r="D299" s="5"/>
      <c r="E299" s="5"/>
      <c r="F299" s="5" t="s">
        <v>823</v>
      </c>
    </row>
    <row r="300" spans="1:6" x14ac:dyDescent="0.3">
      <c r="A300" s="5"/>
      <c r="B300" s="5" t="s">
        <v>68</v>
      </c>
      <c r="C300" s="5" t="s">
        <v>31</v>
      </c>
      <c r="D300" s="5"/>
      <c r="E300" s="5"/>
      <c r="F300" s="5" t="s">
        <v>824</v>
      </c>
    </row>
    <row r="301" spans="1:6" x14ac:dyDescent="0.3">
      <c r="A301" s="5"/>
      <c r="B301" s="5" t="s">
        <v>68</v>
      </c>
      <c r="C301" s="5" t="s">
        <v>32</v>
      </c>
      <c r="D301" s="5"/>
      <c r="E301" s="5"/>
      <c r="F301" s="5" t="s">
        <v>825</v>
      </c>
    </row>
    <row r="302" spans="1:6" x14ac:dyDescent="0.3">
      <c r="A302" s="5"/>
      <c r="B302" s="5" t="s">
        <v>69</v>
      </c>
      <c r="C302" s="5" t="s">
        <v>27</v>
      </c>
      <c r="D302" s="5" t="s">
        <v>722</v>
      </c>
      <c r="E302" s="5" t="s">
        <v>723</v>
      </c>
      <c r="F302" s="5" t="s">
        <v>826</v>
      </c>
    </row>
    <row r="303" spans="1:6" x14ac:dyDescent="0.3">
      <c r="A303" s="5"/>
      <c r="B303" s="5" t="s">
        <v>69</v>
      </c>
      <c r="C303" s="5" t="s">
        <v>28</v>
      </c>
      <c r="D303" s="5"/>
      <c r="E303" s="5"/>
      <c r="F303" s="5" t="s">
        <v>827</v>
      </c>
    </row>
    <row r="304" spans="1:6" x14ac:dyDescent="0.3">
      <c r="A304" s="5"/>
      <c r="B304" s="5" t="s">
        <v>69</v>
      </c>
      <c r="C304" s="5" t="s">
        <v>29</v>
      </c>
      <c r="D304" s="5"/>
      <c r="E304" s="5"/>
      <c r="F304" s="5" t="s">
        <v>828</v>
      </c>
    </row>
    <row r="305" spans="1:6" x14ac:dyDescent="0.3">
      <c r="A305" s="5"/>
      <c r="B305" s="5" t="s">
        <v>69</v>
      </c>
      <c r="C305" s="5" t="s">
        <v>30</v>
      </c>
      <c r="D305" s="5"/>
      <c r="E305" s="5"/>
      <c r="F305" s="5" t="s">
        <v>829</v>
      </c>
    </row>
    <row r="306" spans="1:6" x14ac:dyDescent="0.3">
      <c r="A306" s="5"/>
      <c r="B306" s="5" t="s">
        <v>69</v>
      </c>
      <c r="C306" s="5" t="s">
        <v>31</v>
      </c>
      <c r="D306" s="5"/>
      <c r="E306" s="5"/>
      <c r="F306" s="5" t="s">
        <v>830</v>
      </c>
    </row>
    <row r="307" spans="1:6" x14ac:dyDescent="0.3">
      <c r="A307" s="5"/>
      <c r="B307" s="5" t="s">
        <v>69</v>
      </c>
      <c r="C307" s="5" t="s">
        <v>32</v>
      </c>
      <c r="D307" s="5"/>
      <c r="E307" s="5"/>
      <c r="F307" s="5" t="s">
        <v>831</v>
      </c>
    </row>
    <row r="308" spans="1:6" x14ac:dyDescent="0.3">
      <c r="A308" s="5"/>
      <c r="B308" s="5" t="s">
        <v>70</v>
      </c>
      <c r="C308" s="5" t="s">
        <v>27</v>
      </c>
      <c r="D308" s="5" t="s">
        <v>724</v>
      </c>
      <c r="E308" s="5" t="s">
        <v>725</v>
      </c>
      <c r="F308" s="5" t="s">
        <v>832</v>
      </c>
    </row>
    <row r="309" spans="1:6" x14ac:dyDescent="0.3">
      <c r="A309" s="5"/>
      <c r="B309" s="5" t="s">
        <v>70</v>
      </c>
      <c r="C309" s="5" t="s">
        <v>28</v>
      </c>
      <c r="D309" s="5"/>
      <c r="E309" s="5"/>
      <c r="F309" s="5" t="s">
        <v>833</v>
      </c>
    </row>
    <row r="310" spans="1:6" x14ac:dyDescent="0.3">
      <c r="A310" s="5"/>
      <c r="B310" s="5" t="s">
        <v>70</v>
      </c>
      <c r="C310" s="5" t="s">
        <v>29</v>
      </c>
      <c r="D310" s="5"/>
      <c r="E310" s="5"/>
      <c r="F310" s="5" t="s">
        <v>834</v>
      </c>
    </row>
    <row r="311" spans="1:6" x14ac:dyDescent="0.3">
      <c r="A311" s="5"/>
      <c r="B311" s="5" t="s">
        <v>70</v>
      </c>
      <c r="C311" s="5" t="s">
        <v>30</v>
      </c>
      <c r="D311" s="5"/>
      <c r="E311" s="5"/>
      <c r="F311" s="5" t="s">
        <v>835</v>
      </c>
    </row>
    <row r="312" spans="1:6" x14ac:dyDescent="0.3">
      <c r="A312" s="5"/>
      <c r="B312" s="5" t="s">
        <v>70</v>
      </c>
      <c r="C312" s="5" t="s">
        <v>31</v>
      </c>
      <c r="D312" s="5"/>
      <c r="E312" s="5"/>
      <c r="F312" s="5" t="s">
        <v>836</v>
      </c>
    </row>
    <row r="313" spans="1:6" x14ac:dyDescent="0.3">
      <c r="A313" s="5"/>
      <c r="B313" s="5" t="s">
        <v>70</v>
      </c>
      <c r="C313" s="5" t="s">
        <v>32</v>
      </c>
      <c r="D313" s="5"/>
      <c r="E313" s="5"/>
      <c r="F313" s="5" t="s">
        <v>837</v>
      </c>
    </row>
    <row r="314" spans="1:6" x14ac:dyDescent="0.3">
      <c r="A314" s="5"/>
      <c r="B314" s="5" t="s">
        <v>71</v>
      </c>
      <c r="C314" s="5" t="s">
        <v>27</v>
      </c>
      <c r="D314" s="5" t="s">
        <v>726</v>
      </c>
      <c r="E314" s="5" t="s">
        <v>727</v>
      </c>
      <c r="F314" s="5" t="s">
        <v>838</v>
      </c>
    </row>
    <row r="315" spans="1:6" x14ac:dyDescent="0.3">
      <c r="A315" s="5"/>
      <c r="B315" s="5" t="s">
        <v>71</v>
      </c>
      <c r="C315" s="5" t="s">
        <v>28</v>
      </c>
      <c r="D315" s="5"/>
      <c r="E315" s="5"/>
      <c r="F315" s="5" t="s">
        <v>839</v>
      </c>
    </row>
    <row r="316" spans="1:6" x14ac:dyDescent="0.3">
      <c r="A316" s="5"/>
      <c r="B316" s="5" t="s">
        <v>71</v>
      </c>
      <c r="C316" s="5" t="s">
        <v>29</v>
      </c>
      <c r="D316" s="5"/>
      <c r="E316" s="5"/>
      <c r="F316" s="5" t="s">
        <v>840</v>
      </c>
    </row>
    <row r="317" spans="1:6" x14ac:dyDescent="0.3">
      <c r="A317" s="5"/>
      <c r="B317" s="5" t="s">
        <v>71</v>
      </c>
      <c r="C317" s="5" t="s">
        <v>30</v>
      </c>
      <c r="D317" s="5"/>
      <c r="E317" s="5"/>
      <c r="F317" s="5" t="s">
        <v>841</v>
      </c>
    </row>
    <row r="318" spans="1:6" x14ac:dyDescent="0.3">
      <c r="A318" s="5"/>
      <c r="B318" s="5" t="s">
        <v>71</v>
      </c>
      <c r="C318" s="5" t="s">
        <v>31</v>
      </c>
      <c r="D318" s="5"/>
      <c r="E318" s="5"/>
      <c r="F318" s="5" t="s">
        <v>842</v>
      </c>
    </row>
    <row r="319" spans="1:6" x14ac:dyDescent="0.3">
      <c r="A319" s="5"/>
      <c r="B319" s="5" t="s">
        <v>71</v>
      </c>
      <c r="C319" s="5" t="s">
        <v>32</v>
      </c>
      <c r="D319" s="5"/>
      <c r="E319" s="5"/>
      <c r="F319" s="5" t="s">
        <v>843</v>
      </c>
    </row>
    <row r="320" spans="1:6" x14ac:dyDescent="0.3">
      <c r="A320" s="5"/>
      <c r="B320" s="5" t="s">
        <v>72</v>
      </c>
      <c r="C320" s="5" t="s">
        <v>27</v>
      </c>
      <c r="D320" s="5" t="s">
        <v>728</v>
      </c>
      <c r="E320" s="5" t="s">
        <v>729</v>
      </c>
      <c r="F320" s="5" t="s">
        <v>844</v>
      </c>
    </row>
    <row r="321" spans="1:6" x14ac:dyDescent="0.3">
      <c r="A321" s="5"/>
      <c r="B321" s="5" t="s">
        <v>72</v>
      </c>
      <c r="C321" s="5" t="s">
        <v>28</v>
      </c>
      <c r="D321" s="5"/>
      <c r="E321" s="5"/>
      <c r="F321" s="5" t="s">
        <v>845</v>
      </c>
    </row>
    <row r="322" spans="1:6" x14ac:dyDescent="0.3">
      <c r="A322" s="5"/>
      <c r="B322" s="5" t="s">
        <v>72</v>
      </c>
      <c r="C322" s="5" t="s">
        <v>29</v>
      </c>
      <c r="D322" s="5"/>
      <c r="E322" s="5"/>
      <c r="F322" s="5" t="s">
        <v>846</v>
      </c>
    </row>
    <row r="323" spans="1:6" x14ac:dyDescent="0.3">
      <c r="A323" s="5"/>
      <c r="B323" s="5" t="s">
        <v>72</v>
      </c>
      <c r="C323" s="5" t="s">
        <v>30</v>
      </c>
      <c r="D323" s="5"/>
      <c r="E323" s="5"/>
      <c r="F323" s="5" t="s">
        <v>847</v>
      </c>
    </row>
    <row r="324" spans="1:6" x14ac:dyDescent="0.3">
      <c r="A324" s="5"/>
      <c r="B324" s="5" t="s">
        <v>72</v>
      </c>
      <c r="C324" s="5" t="s">
        <v>31</v>
      </c>
      <c r="D324" s="5"/>
      <c r="E324" s="5"/>
      <c r="F324" s="5" t="s">
        <v>848</v>
      </c>
    </row>
    <row r="325" spans="1:6" x14ac:dyDescent="0.3">
      <c r="A325" s="5"/>
      <c r="B325" s="5" t="s">
        <v>72</v>
      </c>
      <c r="C325" s="5" t="s">
        <v>32</v>
      </c>
      <c r="D325" s="5"/>
      <c r="E325" s="5"/>
      <c r="F325" s="5" t="s">
        <v>849</v>
      </c>
    </row>
    <row r="326" spans="1:6" x14ac:dyDescent="0.3">
      <c r="A326" s="5" t="s">
        <v>10</v>
      </c>
      <c r="B326" s="5" t="s">
        <v>73</v>
      </c>
      <c r="C326" s="5" t="s">
        <v>27</v>
      </c>
      <c r="D326" s="5" t="s">
        <v>730</v>
      </c>
      <c r="E326" s="5" t="s">
        <v>731</v>
      </c>
      <c r="F326" s="5" t="s">
        <v>790</v>
      </c>
    </row>
    <row r="327" spans="1:6" x14ac:dyDescent="0.3">
      <c r="A327" s="5"/>
      <c r="B327" s="5" t="s">
        <v>73</v>
      </c>
      <c r="C327" s="5" t="s">
        <v>28</v>
      </c>
      <c r="D327" s="5"/>
      <c r="E327" s="5"/>
      <c r="F327" s="5" t="s">
        <v>791</v>
      </c>
    </row>
    <row r="328" spans="1:6" x14ac:dyDescent="0.3">
      <c r="A328" s="5"/>
      <c r="B328" s="5" t="s">
        <v>73</v>
      </c>
      <c r="C328" s="5" t="s">
        <v>29</v>
      </c>
      <c r="D328" s="5"/>
      <c r="E328" s="5"/>
      <c r="F328" s="5" t="s">
        <v>792</v>
      </c>
    </row>
    <row r="329" spans="1:6" x14ac:dyDescent="0.3">
      <c r="A329" s="5"/>
      <c r="B329" s="5" t="s">
        <v>73</v>
      </c>
      <c r="C329" s="5" t="s">
        <v>30</v>
      </c>
      <c r="D329" s="5"/>
      <c r="E329" s="5"/>
      <c r="F329" s="5" t="s">
        <v>793</v>
      </c>
    </row>
    <row r="330" spans="1:6" x14ac:dyDescent="0.3">
      <c r="A330" s="5"/>
      <c r="B330" s="5" t="s">
        <v>73</v>
      </c>
      <c r="C330" s="5" t="s">
        <v>31</v>
      </c>
      <c r="D330" s="5"/>
      <c r="E330" s="5"/>
      <c r="F330" s="5" t="s">
        <v>794</v>
      </c>
    </row>
    <row r="331" spans="1:6" x14ac:dyDescent="0.3">
      <c r="A331" s="5"/>
      <c r="B331" s="5" t="s">
        <v>73</v>
      </c>
      <c r="C331" s="5" t="s">
        <v>32</v>
      </c>
      <c r="D331" s="5"/>
      <c r="E331" s="5"/>
      <c r="F331" s="5" t="s">
        <v>795</v>
      </c>
    </row>
    <row r="332" spans="1:6" x14ac:dyDescent="0.3">
      <c r="A332" s="5"/>
      <c r="B332" s="5" t="s">
        <v>74</v>
      </c>
      <c r="C332" s="5" t="s">
        <v>27</v>
      </c>
      <c r="D332" s="5" t="s">
        <v>732</v>
      </c>
      <c r="E332" s="5" t="s">
        <v>639</v>
      </c>
      <c r="F332" s="5" t="s">
        <v>796</v>
      </c>
    </row>
    <row r="333" spans="1:6" x14ac:dyDescent="0.3">
      <c r="A333" s="5"/>
      <c r="B333" s="5" t="s">
        <v>74</v>
      </c>
      <c r="C333" s="5" t="s">
        <v>28</v>
      </c>
      <c r="D333" s="5"/>
      <c r="E333" s="5"/>
      <c r="F333" s="5" t="s">
        <v>797</v>
      </c>
    </row>
    <row r="334" spans="1:6" x14ac:dyDescent="0.3">
      <c r="A334" s="5"/>
      <c r="B334" s="5" t="s">
        <v>74</v>
      </c>
      <c r="C334" s="5" t="s">
        <v>29</v>
      </c>
      <c r="D334" s="5"/>
      <c r="E334" s="5"/>
      <c r="F334" s="5" t="s">
        <v>798</v>
      </c>
    </row>
    <row r="335" spans="1:6" x14ac:dyDescent="0.3">
      <c r="A335" s="5"/>
      <c r="B335" s="5" t="s">
        <v>74</v>
      </c>
      <c r="C335" s="5" t="s">
        <v>30</v>
      </c>
      <c r="D335" s="5"/>
      <c r="E335" s="5"/>
      <c r="F335" s="5" t="s">
        <v>799</v>
      </c>
    </row>
    <row r="336" spans="1:6" x14ac:dyDescent="0.3">
      <c r="A336" s="5"/>
      <c r="B336" s="5" t="s">
        <v>74</v>
      </c>
      <c r="C336" s="5" t="s">
        <v>31</v>
      </c>
      <c r="D336" s="5"/>
      <c r="E336" s="5"/>
      <c r="F336" s="5" t="s">
        <v>800</v>
      </c>
    </row>
    <row r="337" spans="1:6" x14ac:dyDescent="0.3">
      <c r="A337" s="5"/>
      <c r="B337" s="5" t="s">
        <v>74</v>
      </c>
      <c r="C337" s="5" t="s">
        <v>32</v>
      </c>
      <c r="D337" s="5"/>
      <c r="E337" s="5"/>
      <c r="F337" s="5" t="s">
        <v>801</v>
      </c>
    </row>
    <row r="338" spans="1:6" x14ac:dyDescent="0.3">
      <c r="A338" s="5"/>
      <c r="B338" s="5" t="s">
        <v>75</v>
      </c>
      <c r="C338" s="5" t="s">
        <v>27</v>
      </c>
      <c r="D338" s="5" t="s">
        <v>733</v>
      </c>
      <c r="E338" s="5" t="s">
        <v>734</v>
      </c>
      <c r="F338" s="5" t="s">
        <v>802</v>
      </c>
    </row>
    <row r="339" spans="1:6" x14ac:dyDescent="0.3">
      <c r="A339" s="5"/>
      <c r="B339" s="5" t="s">
        <v>75</v>
      </c>
      <c r="C339" s="5" t="s">
        <v>28</v>
      </c>
      <c r="D339" s="5"/>
      <c r="E339" s="5"/>
      <c r="F339" s="5" t="s">
        <v>803</v>
      </c>
    </row>
    <row r="340" spans="1:6" x14ac:dyDescent="0.3">
      <c r="A340" s="5"/>
      <c r="B340" s="5" t="s">
        <v>75</v>
      </c>
      <c r="C340" s="5" t="s">
        <v>29</v>
      </c>
      <c r="D340" s="5"/>
      <c r="E340" s="5"/>
      <c r="F340" s="5" t="s">
        <v>804</v>
      </c>
    </row>
    <row r="341" spans="1:6" x14ac:dyDescent="0.3">
      <c r="A341" s="5"/>
      <c r="B341" s="5" t="s">
        <v>75</v>
      </c>
      <c r="C341" s="5" t="s">
        <v>30</v>
      </c>
      <c r="D341" s="5"/>
      <c r="E341" s="5"/>
      <c r="F341" s="5" t="s">
        <v>805</v>
      </c>
    </row>
    <row r="342" spans="1:6" x14ac:dyDescent="0.3">
      <c r="A342" s="5"/>
      <c r="B342" s="5" t="s">
        <v>75</v>
      </c>
      <c r="C342" s="5" t="s">
        <v>31</v>
      </c>
      <c r="D342" s="5"/>
      <c r="E342" s="5"/>
      <c r="F342" s="5" t="s">
        <v>806</v>
      </c>
    </row>
    <row r="343" spans="1:6" x14ac:dyDescent="0.3">
      <c r="A343" s="5"/>
      <c r="B343" s="5" t="s">
        <v>75</v>
      </c>
      <c r="C343" s="5" t="s">
        <v>32</v>
      </c>
      <c r="D343" s="5"/>
      <c r="E343" s="5"/>
      <c r="F343" s="5" t="s">
        <v>807</v>
      </c>
    </row>
    <row r="344" spans="1:6" x14ac:dyDescent="0.3">
      <c r="A344" s="5"/>
      <c r="B344" s="5" t="s">
        <v>76</v>
      </c>
      <c r="C344" s="5" t="s">
        <v>27</v>
      </c>
      <c r="D344" s="5" t="s">
        <v>735</v>
      </c>
      <c r="E344" s="5" t="s">
        <v>736</v>
      </c>
      <c r="F344" s="5" t="s">
        <v>808</v>
      </c>
    </row>
    <row r="345" spans="1:6" x14ac:dyDescent="0.3">
      <c r="A345" s="5"/>
      <c r="B345" s="5" t="s">
        <v>76</v>
      </c>
      <c r="C345" s="5" t="s">
        <v>28</v>
      </c>
      <c r="D345" s="5"/>
      <c r="E345" s="5"/>
      <c r="F345" s="5" t="s">
        <v>809</v>
      </c>
    </row>
    <row r="346" spans="1:6" x14ac:dyDescent="0.3">
      <c r="A346" s="5"/>
      <c r="B346" s="5" t="s">
        <v>76</v>
      </c>
      <c r="C346" s="5" t="s">
        <v>29</v>
      </c>
      <c r="D346" s="5"/>
      <c r="E346" s="5"/>
      <c r="F346" s="5" t="s">
        <v>810</v>
      </c>
    </row>
    <row r="347" spans="1:6" x14ac:dyDescent="0.3">
      <c r="A347" s="5"/>
      <c r="B347" s="5" t="s">
        <v>76</v>
      </c>
      <c r="C347" s="5" t="s">
        <v>30</v>
      </c>
      <c r="D347" s="5"/>
      <c r="E347" s="5"/>
      <c r="F347" s="5" t="s">
        <v>811</v>
      </c>
    </row>
    <row r="348" spans="1:6" x14ac:dyDescent="0.3">
      <c r="A348" s="5"/>
      <c r="B348" s="5" t="s">
        <v>76</v>
      </c>
      <c r="C348" s="5" t="s">
        <v>31</v>
      </c>
      <c r="D348" s="5"/>
      <c r="E348" s="5"/>
      <c r="F348" s="5" t="s">
        <v>812</v>
      </c>
    </row>
    <row r="349" spans="1:6" x14ac:dyDescent="0.3">
      <c r="A349" s="5"/>
      <c r="B349" s="5" t="s">
        <v>76</v>
      </c>
      <c r="C349" s="5" t="s">
        <v>32</v>
      </c>
      <c r="D349" s="5"/>
      <c r="E349" s="5"/>
      <c r="F349" s="5" t="s">
        <v>813</v>
      </c>
    </row>
    <row r="350" spans="1:6" x14ac:dyDescent="0.3">
      <c r="A350" s="5"/>
      <c r="B350" s="5" t="s">
        <v>77</v>
      </c>
      <c r="C350" s="5" t="s">
        <v>27</v>
      </c>
      <c r="D350" s="5" t="s">
        <v>737</v>
      </c>
      <c r="E350" s="5" t="s">
        <v>738</v>
      </c>
      <c r="F350" s="5" t="s">
        <v>814</v>
      </c>
    </row>
    <row r="351" spans="1:6" x14ac:dyDescent="0.3">
      <c r="A351" s="5"/>
      <c r="B351" s="5" t="s">
        <v>77</v>
      </c>
      <c r="C351" s="5" t="s">
        <v>28</v>
      </c>
      <c r="D351" s="5"/>
      <c r="E351" s="5"/>
      <c r="F351" s="5" t="s">
        <v>815</v>
      </c>
    </row>
    <row r="352" spans="1:6" x14ac:dyDescent="0.3">
      <c r="A352" s="5"/>
      <c r="B352" s="5" t="s">
        <v>77</v>
      </c>
      <c r="C352" s="5" t="s">
        <v>29</v>
      </c>
      <c r="D352" s="5"/>
      <c r="E352" s="5"/>
      <c r="F352" s="5" t="s">
        <v>816</v>
      </c>
    </row>
    <row r="353" spans="1:6" x14ac:dyDescent="0.3">
      <c r="A353" s="5"/>
      <c r="B353" s="5" t="s">
        <v>77</v>
      </c>
      <c r="C353" s="5" t="s">
        <v>30</v>
      </c>
      <c r="D353" s="5"/>
      <c r="E353" s="5"/>
      <c r="F353" s="5" t="s">
        <v>817</v>
      </c>
    </row>
    <row r="354" spans="1:6" x14ac:dyDescent="0.3">
      <c r="A354" s="5"/>
      <c r="B354" s="5" t="s">
        <v>77</v>
      </c>
      <c r="C354" s="5" t="s">
        <v>31</v>
      </c>
      <c r="D354" s="5"/>
      <c r="E354" s="5"/>
      <c r="F354" s="5" t="s">
        <v>818</v>
      </c>
    </row>
    <row r="355" spans="1:6" x14ac:dyDescent="0.3">
      <c r="A355" s="5"/>
      <c r="B355" s="5" t="s">
        <v>77</v>
      </c>
      <c r="C355" s="5" t="s">
        <v>32</v>
      </c>
      <c r="D355" s="5"/>
      <c r="E355" s="5"/>
      <c r="F355" s="5" t="s">
        <v>819</v>
      </c>
    </row>
    <row r="356" spans="1:6" x14ac:dyDescent="0.3">
      <c r="A356" s="5"/>
      <c r="B356" s="5" t="s">
        <v>78</v>
      </c>
      <c r="C356" s="5" t="s">
        <v>27</v>
      </c>
      <c r="D356" s="5" t="s">
        <v>739</v>
      </c>
      <c r="E356" s="5" t="s">
        <v>740</v>
      </c>
      <c r="F356" s="5" t="s">
        <v>820</v>
      </c>
    </row>
    <row r="357" spans="1:6" x14ac:dyDescent="0.3">
      <c r="A357" s="5"/>
      <c r="B357" s="5" t="s">
        <v>78</v>
      </c>
      <c r="C357" s="5" t="s">
        <v>28</v>
      </c>
      <c r="D357" s="5"/>
      <c r="E357" s="5"/>
      <c r="F357" s="5" t="s">
        <v>821</v>
      </c>
    </row>
    <row r="358" spans="1:6" x14ac:dyDescent="0.3">
      <c r="A358" s="5"/>
      <c r="B358" s="5" t="s">
        <v>78</v>
      </c>
      <c r="C358" s="5" t="s">
        <v>29</v>
      </c>
      <c r="D358" s="5"/>
      <c r="E358" s="5"/>
      <c r="F358" s="5" t="s">
        <v>822</v>
      </c>
    </row>
    <row r="359" spans="1:6" x14ac:dyDescent="0.3">
      <c r="A359" s="5"/>
      <c r="B359" s="5" t="s">
        <v>78</v>
      </c>
      <c r="C359" s="5" t="s">
        <v>30</v>
      </c>
      <c r="D359" s="5"/>
      <c r="E359" s="5"/>
      <c r="F359" s="5" t="s">
        <v>823</v>
      </c>
    </row>
    <row r="360" spans="1:6" x14ac:dyDescent="0.3">
      <c r="A360" s="5"/>
      <c r="B360" s="5" t="s">
        <v>78</v>
      </c>
      <c r="C360" s="5" t="s">
        <v>31</v>
      </c>
      <c r="D360" s="5"/>
      <c r="E360" s="5"/>
      <c r="F360" s="5" t="s">
        <v>824</v>
      </c>
    </row>
    <row r="361" spans="1:6" x14ac:dyDescent="0.3">
      <c r="A361" s="5"/>
      <c r="B361" s="5" t="s">
        <v>78</v>
      </c>
      <c r="C361" s="5" t="s">
        <v>32</v>
      </c>
      <c r="D361" s="5"/>
      <c r="E361" s="5"/>
      <c r="F361" s="5" t="s">
        <v>825</v>
      </c>
    </row>
    <row r="362" spans="1:6" x14ac:dyDescent="0.3">
      <c r="A362" s="5"/>
      <c r="B362" s="5" t="s">
        <v>79</v>
      </c>
      <c r="C362" s="5" t="s">
        <v>27</v>
      </c>
      <c r="D362" s="5" t="s">
        <v>741</v>
      </c>
      <c r="E362" s="5" t="s">
        <v>742</v>
      </c>
      <c r="F362" s="5" t="s">
        <v>826</v>
      </c>
    </row>
    <row r="363" spans="1:6" x14ac:dyDescent="0.3">
      <c r="A363" s="5"/>
      <c r="B363" s="5" t="s">
        <v>79</v>
      </c>
      <c r="C363" s="5" t="s">
        <v>28</v>
      </c>
      <c r="D363" s="5"/>
      <c r="E363" s="5"/>
      <c r="F363" s="5" t="s">
        <v>827</v>
      </c>
    </row>
    <row r="364" spans="1:6" x14ac:dyDescent="0.3">
      <c r="A364" s="5"/>
      <c r="B364" s="5" t="s">
        <v>79</v>
      </c>
      <c r="C364" s="5" t="s">
        <v>29</v>
      </c>
      <c r="D364" s="5"/>
      <c r="E364" s="5"/>
      <c r="F364" s="5" t="s">
        <v>828</v>
      </c>
    </row>
    <row r="365" spans="1:6" x14ac:dyDescent="0.3">
      <c r="A365" s="5"/>
      <c r="B365" s="5" t="s">
        <v>79</v>
      </c>
      <c r="C365" s="5" t="s">
        <v>30</v>
      </c>
      <c r="D365" s="5"/>
      <c r="E365" s="5"/>
      <c r="F365" s="5" t="s">
        <v>829</v>
      </c>
    </row>
    <row r="366" spans="1:6" x14ac:dyDescent="0.3">
      <c r="A366" s="5"/>
      <c r="B366" s="5" t="s">
        <v>79</v>
      </c>
      <c r="C366" s="5" t="s">
        <v>31</v>
      </c>
      <c r="D366" s="5"/>
      <c r="E366" s="5"/>
      <c r="F366" s="5" t="s">
        <v>830</v>
      </c>
    </row>
    <row r="367" spans="1:6" x14ac:dyDescent="0.3">
      <c r="A367" s="5"/>
      <c r="B367" s="5" t="s">
        <v>79</v>
      </c>
      <c r="C367" s="5" t="s">
        <v>32</v>
      </c>
      <c r="D367" s="5"/>
      <c r="E367" s="5"/>
      <c r="F367" s="5" t="s">
        <v>831</v>
      </c>
    </row>
    <row r="368" spans="1:6" x14ac:dyDescent="0.3">
      <c r="A368" s="5"/>
      <c r="B368" s="5" t="s">
        <v>80</v>
      </c>
      <c r="C368" s="5" t="s">
        <v>27</v>
      </c>
      <c r="D368" s="5" t="s">
        <v>743</v>
      </c>
      <c r="E368" s="5" t="s">
        <v>744</v>
      </c>
      <c r="F368" s="5" t="s">
        <v>832</v>
      </c>
    </row>
    <row r="369" spans="1:6" x14ac:dyDescent="0.3">
      <c r="A369" s="5"/>
      <c r="B369" s="5" t="s">
        <v>80</v>
      </c>
      <c r="C369" s="5" t="s">
        <v>28</v>
      </c>
      <c r="D369" s="5"/>
      <c r="E369" s="5"/>
      <c r="F369" s="5" t="s">
        <v>833</v>
      </c>
    </row>
    <row r="370" spans="1:6" x14ac:dyDescent="0.3">
      <c r="A370" s="5"/>
      <c r="B370" s="5" t="s">
        <v>80</v>
      </c>
      <c r="C370" s="5" t="s">
        <v>29</v>
      </c>
      <c r="D370" s="5"/>
      <c r="E370" s="5"/>
      <c r="F370" s="5" t="s">
        <v>834</v>
      </c>
    </row>
    <row r="371" spans="1:6" x14ac:dyDescent="0.3">
      <c r="A371" s="5"/>
      <c r="B371" s="5" t="s">
        <v>80</v>
      </c>
      <c r="C371" s="5" t="s">
        <v>30</v>
      </c>
      <c r="D371" s="5"/>
      <c r="E371" s="5"/>
      <c r="F371" s="5" t="s">
        <v>835</v>
      </c>
    </row>
    <row r="372" spans="1:6" x14ac:dyDescent="0.3">
      <c r="A372" s="5"/>
      <c r="B372" s="5" t="s">
        <v>80</v>
      </c>
      <c r="C372" s="5" t="s">
        <v>31</v>
      </c>
      <c r="D372" s="5"/>
      <c r="E372" s="5"/>
      <c r="F372" s="5" t="s">
        <v>836</v>
      </c>
    </row>
    <row r="373" spans="1:6" x14ac:dyDescent="0.3">
      <c r="A373" s="5"/>
      <c r="B373" s="5" t="s">
        <v>80</v>
      </c>
      <c r="C373" s="5" t="s">
        <v>32</v>
      </c>
      <c r="D373" s="5"/>
      <c r="E373" s="5"/>
      <c r="F373" s="5" t="s">
        <v>837</v>
      </c>
    </row>
    <row r="374" spans="1:6" x14ac:dyDescent="0.3">
      <c r="A374" s="5"/>
      <c r="B374" s="5" t="s">
        <v>81</v>
      </c>
      <c r="C374" s="5" t="s">
        <v>27</v>
      </c>
      <c r="D374" s="5" t="s">
        <v>745</v>
      </c>
      <c r="E374" s="5" t="s">
        <v>746</v>
      </c>
      <c r="F374" s="5" t="s">
        <v>838</v>
      </c>
    </row>
    <row r="375" spans="1:6" x14ac:dyDescent="0.3">
      <c r="A375" s="5"/>
      <c r="B375" s="5" t="s">
        <v>81</v>
      </c>
      <c r="C375" s="5" t="s">
        <v>28</v>
      </c>
      <c r="D375" s="5"/>
      <c r="E375" s="5"/>
      <c r="F375" s="5" t="s">
        <v>839</v>
      </c>
    </row>
    <row r="376" spans="1:6" x14ac:dyDescent="0.3">
      <c r="A376" s="5"/>
      <c r="B376" s="5" t="s">
        <v>81</v>
      </c>
      <c r="C376" s="5" t="s">
        <v>29</v>
      </c>
      <c r="D376" s="5"/>
      <c r="E376" s="5"/>
      <c r="F376" s="5" t="s">
        <v>840</v>
      </c>
    </row>
    <row r="377" spans="1:6" x14ac:dyDescent="0.3">
      <c r="A377" s="5"/>
      <c r="B377" s="5" t="s">
        <v>81</v>
      </c>
      <c r="C377" s="5" t="s">
        <v>30</v>
      </c>
      <c r="D377" s="5"/>
      <c r="E377" s="5"/>
      <c r="F377" s="5" t="s">
        <v>841</v>
      </c>
    </row>
    <row r="378" spans="1:6" x14ac:dyDescent="0.3">
      <c r="A378" s="5"/>
      <c r="B378" s="5" t="s">
        <v>81</v>
      </c>
      <c r="C378" s="5" t="s">
        <v>31</v>
      </c>
      <c r="D378" s="5"/>
      <c r="E378" s="5"/>
      <c r="F378" s="5" t="s">
        <v>842</v>
      </c>
    </row>
    <row r="379" spans="1:6" x14ac:dyDescent="0.3">
      <c r="A379" s="5"/>
      <c r="B379" s="5" t="s">
        <v>81</v>
      </c>
      <c r="C379" s="5" t="s">
        <v>32</v>
      </c>
      <c r="D379" s="5"/>
      <c r="E379" s="5"/>
      <c r="F379" s="5" t="s">
        <v>843</v>
      </c>
    </row>
    <row r="380" spans="1:6" x14ac:dyDescent="0.3">
      <c r="A380" s="5"/>
      <c r="B380" s="5" t="s">
        <v>82</v>
      </c>
      <c r="C380" s="5" t="s">
        <v>27</v>
      </c>
      <c r="D380" s="5" t="s">
        <v>747</v>
      </c>
      <c r="E380" s="5" t="s">
        <v>748</v>
      </c>
      <c r="F380" s="5" t="s">
        <v>844</v>
      </c>
    </row>
    <row r="381" spans="1:6" x14ac:dyDescent="0.3">
      <c r="A381" s="5"/>
      <c r="B381" s="5" t="s">
        <v>82</v>
      </c>
      <c r="C381" s="5" t="s">
        <v>28</v>
      </c>
      <c r="D381" s="5"/>
      <c r="E381" s="5"/>
      <c r="F381" s="5" t="s">
        <v>845</v>
      </c>
    </row>
    <row r="382" spans="1:6" x14ac:dyDescent="0.3">
      <c r="A382" s="5"/>
      <c r="B382" s="5" t="s">
        <v>82</v>
      </c>
      <c r="C382" s="5" t="s">
        <v>29</v>
      </c>
      <c r="D382" s="5"/>
      <c r="E382" s="5"/>
      <c r="F382" s="5" t="s">
        <v>846</v>
      </c>
    </row>
    <row r="383" spans="1:6" x14ac:dyDescent="0.3">
      <c r="A383" s="5"/>
      <c r="B383" s="5" t="s">
        <v>82</v>
      </c>
      <c r="C383" s="5" t="s">
        <v>30</v>
      </c>
      <c r="D383" s="5"/>
      <c r="E383" s="5"/>
      <c r="F383" s="5" t="s">
        <v>847</v>
      </c>
    </row>
    <row r="384" spans="1:6" x14ac:dyDescent="0.3">
      <c r="A384" s="5"/>
      <c r="B384" s="5" t="s">
        <v>82</v>
      </c>
      <c r="C384" s="5" t="s">
        <v>31</v>
      </c>
      <c r="D384" s="5"/>
      <c r="E384" s="5"/>
      <c r="F384" s="5" t="s">
        <v>848</v>
      </c>
    </row>
    <row r="385" spans="1:6" x14ac:dyDescent="0.3">
      <c r="A385" s="5"/>
      <c r="B385" s="5" t="s">
        <v>82</v>
      </c>
      <c r="C385" s="5" t="s">
        <v>32</v>
      </c>
      <c r="D385" s="5"/>
      <c r="E385" s="5"/>
      <c r="F385" s="5" t="s">
        <v>849</v>
      </c>
    </row>
    <row r="386" spans="1:6" x14ac:dyDescent="0.3">
      <c r="A386" s="5" t="s">
        <v>11</v>
      </c>
      <c r="B386" s="5" t="s">
        <v>83</v>
      </c>
      <c r="C386" s="5" t="s">
        <v>27</v>
      </c>
      <c r="D386" s="5" t="s">
        <v>749</v>
      </c>
      <c r="E386" s="5" t="s">
        <v>750</v>
      </c>
      <c r="F386" s="5" t="s">
        <v>790</v>
      </c>
    </row>
    <row r="387" spans="1:6" x14ac:dyDescent="0.3">
      <c r="A387" s="5"/>
      <c r="B387" s="5" t="s">
        <v>83</v>
      </c>
      <c r="C387" s="5" t="s">
        <v>28</v>
      </c>
      <c r="D387" s="5"/>
      <c r="E387" s="5"/>
      <c r="F387" s="5" t="s">
        <v>791</v>
      </c>
    </row>
    <row r="388" spans="1:6" x14ac:dyDescent="0.3">
      <c r="A388" s="5"/>
      <c r="B388" s="5" t="s">
        <v>83</v>
      </c>
      <c r="C388" s="5" t="s">
        <v>29</v>
      </c>
      <c r="D388" s="5"/>
      <c r="E388" s="5"/>
      <c r="F388" s="5" t="s">
        <v>792</v>
      </c>
    </row>
    <row r="389" spans="1:6" x14ac:dyDescent="0.3">
      <c r="A389" s="5"/>
      <c r="B389" s="5" t="s">
        <v>83</v>
      </c>
      <c r="C389" s="5" t="s">
        <v>30</v>
      </c>
      <c r="D389" s="5"/>
      <c r="E389" s="5"/>
      <c r="F389" s="5" t="s">
        <v>793</v>
      </c>
    </row>
    <row r="390" spans="1:6" x14ac:dyDescent="0.3">
      <c r="A390" s="5"/>
      <c r="B390" s="5" t="s">
        <v>83</v>
      </c>
      <c r="C390" s="5" t="s">
        <v>31</v>
      </c>
      <c r="D390" s="5"/>
      <c r="E390" s="5"/>
      <c r="F390" s="5" t="s">
        <v>794</v>
      </c>
    </row>
    <row r="391" spans="1:6" x14ac:dyDescent="0.3">
      <c r="A391" s="5"/>
      <c r="B391" s="5" t="s">
        <v>83</v>
      </c>
      <c r="C391" s="5" t="s">
        <v>32</v>
      </c>
      <c r="D391" s="5"/>
      <c r="E391" s="5"/>
      <c r="F391" s="5" t="s">
        <v>795</v>
      </c>
    </row>
    <row r="392" spans="1:6" x14ac:dyDescent="0.3">
      <c r="A392" s="5"/>
      <c r="B392" s="5" t="s">
        <v>84</v>
      </c>
      <c r="C392" s="5" t="s">
        <v>27</v>
      </c>
      <c r="D392" s="5" t="s">
        <v>751</v>
      </c>
      <c r="E392" s="5" t="s">
        <v>752</v>
      </c>
      <c r="F392" s="5" t="s">
        <v>796</v>
      </c>
    </row>
    <row r="393" spans="1:6" x14ac:dyDescent="0.3">
      <c r="A393" s="5"/>
      <c r="B393" s="5" t="s">
        <v>84</v>
      </c>
      <c r="C393" s="5" t="s">
        <v>28</v>
      </c>
      <c r="D393" s="5"/>
      <c r="E393" s="5"/>
      <c r="F393" s="5" t="s">
        <v>797</v>
      </c>
    </row>
    <row r="394" spans="1:6" x14ac:dyDescent="0.3">
      <c r="A394" s="5"/>
      <c r="B394" s="5" t="s">
        <v>84</v>
      </c>
      <c r="C394" s="5" t="s">
        <v>29</v>
      </c>
      <c r="D394" s="5"/>
      <c r="E394" s="5"/>
      <c r="F394" s="5" t="s">
        <v>798</v>
      </c>
    </row>
    <row r="395" spans="1:6" x14ac:dyDescent="0.3">
      <c r="A395" s="5"/>
      <c r="B395" s="5" t="s">
        <v>84</v>
      </c>
      <c r="C395" s="5" t="s">
        <v>30</v>
      </c>
      <c r="D395" s="5"/>
      <c r="E395" s="5"/>
      <c r="F395" s="5" t="s">
        <v>799</v>
      </c>
    </row>
    <row r="396" spans="1:6" x14ac:dyDescent="0.3">
      <c r="A396" s="5"/>
      <c r="B396" s="5" t="s">
        <v>84</v>
      </c>
      <c r="C396" s="5" t="s">
        <v>31</v>
      </c>
      <c r="D396" s="5"/>
      <c r="E396" s="5"/>
      <c r="F396" s="5" t="s">
        <v>800</v>
      </c>
    </row>
    <row r="397" spans="1:6" x14ac:dyDescent="0.3">
      <c r="A397" s="5"/>
      <c r="B397" s="5" t="s">
        <v>84</v>
      </c>
      <c r="C397" s="5" t="s">
        <v>32</v>
      </c>
      <c r="D397" s="5"/>
      <c r="E397" s="5"/>
      <c r="F397" s="5" t="s">
        <v>801</v>
      </c>
    </row>
    <row r="398" spans="1:6" x14ac:dyDescent="0.3">
      <c r="A398" s="5"/>
      <c r="B398" s="5" t="s">
        <v>85</v>
      </c>
      <c r="C398" s="5" t="s">
        <v>27</v>
      </c>
      <c r="D398" s="5" t="s">
        <v>753</v>
      </c>
      <c r="E398" s="5" t="s">
        <v>754</v>
      </c>
      <c r="F398" s="5" t="s">
        <v>802</v>
      </c>
    </row>
    <row r="399" spans="1:6" x14ac:dyDescent="0.3">
      <c r="A399" s="5"/>
      <c r="B399" s="5" t="s">
        <v>85</v>
      </c>
      <c r="C399" s="5" t="s">
        <v>28</v>
      </c>
      <c r="D399" s="5"/>
      <c r="E399" s="5"/>
      <c r="F399" s="5" t="s">
        <v>803</v>
      </c>
    </row>
    <row r="400" spans="1:6" x14ac:dyDescent="0.3">
      <c r="A400" s="5"/>
      <c r="B400" s="5" t="s">
        <v>85</v>
      </c>
      <c r="C400" s="5" t="s">
        <v>29</v>
      </c>
      <c r="D400" s="5"/>
      <c r="E400" s="5"/>
      <c r="F400" s="5" t="s">
        <v>804</v>
      </c>
    </row>
    <row r="401" spans="1:6" x14ac:dyDescent="0.3">
      <c r="A401" s="5"/>
      <c r="B401" s="5" t="s">
        <v>85</v>
      </c>
      <c r="C401" s="5" t="s">
        <v>30</v>
      </c>
      <c r="D401" s="5"/>
      <c r="E401" s="5"/>
      <c r="F401" s="5" t="s">
        <v>805</v>
      </c>
    </row>
    <row r="402" spans="1:6" x14ac:dyDescent="0.3">
      <c r="A402" s="5"/>
      <c r="B402" s="5" t="s">
        <v>85</v>
      </c>
      <c r="C402" s="5" t="s">
        <v>31</v>
      </c>
      <c r="D402" s="5"/>
      <c r="E402" s="5"/>
      <c r="F402" s="5" t="s">
        <v>806</v>
      </c>
    </row>
    <row r="403" spans="1:6" x14ac:dyDescent="0.3">
      <c r="A403" s="5"/>
      <c r="B403" s="5" t="s">
        <v>85</v>
      </c>
      <c r="C403" s="5" t="s">
        <v>32</v>
      </c>
      <c r="D403" s="5"/>
      <c r="E403" s="5"/>
      <c r="F403" s="5" t="s">
        <v>807</v>
      </c>
    </row>
    <row r="404" spans="1:6" x14ac:dyDescent="0.3">
      <c r="A404" s="5"/>
      <c r="B404" s="5" t="s">
        <v>86</v>
      </c>
      <c r="C404" s="5" t="s">
        <v>27</v>
      </c>
      <c r="D404" s="5" t="s">
        <v>755</v>
      </c>
      <c r="E404" s="5" t="s">
        <v>756</v>
      </c>
      <c r="F404" s="5" t="s">
        <v>808</v>
      </c>
    </row>
    <row r="405" spans="1:6" x14ac:dyDescent="0.3">
      <c r="A405" s="5"/>
      <c r="B405" s="5" t="s">
        <v>86</v>
      </c>
      <c r="C405" s="5" t="s">
        <v>28</v>
      </c>
      <c r="D405" s="5"/>
      <c r="E405" s="5"/>
      <c r="F405" s="5" t="s">
        <v>809</v>
      </c>
    </row>
    <row r="406" spans="1:6" x14ac:dyDescent="0.3">
      <c r="A406" s="5"/>
      <c r="B406" s="5" t="s">
        <v>86</v>
      </c>
      <c r="C406" s="5" t="s">
        <v>29</v>
      </c>
      <c r="D406" s="5"/>
      <c r="E406" s="5"/>
      <c r="F406" s="5" t="s">
        <v>810</v>
      </c>
    </row>
    <row r="407" spans="1:6" x14ac:dyDescent="0.3">
      <c r="A407" s="5"/>
      <c r="B407" s="5" t="s">
        <v>86</v>
      </c>
      <c r="C407" s="5" t="s">
        <v>30</v>
      </c>
      <c r="D407" s="5"/>
      <c r="E407" s="5"/>
      <c r="F407" s="5" t="s">
        <v>811</v>
      </c>
    </row>
    <row r="408" spans="1:6" x14ac:dyDescent="0.3">
      <c r="A408" s="5"/>
      <c r="B408" s="5" t="s">
        <v>86</v>
      </c>
      <c r="C408" s="5" t="s">
        <v>31</v>
      </c>
      <c r="D408" s="5"/>
      <c r="E408" s="5"/>
      <c r="F408" s="5" t="s">
        <v>812</v>
      </c>
    </row>
    <row r="409" spans="1:6" x14ac:dyDescent="0.3">
      <c r="A409" s="5"/>
      <c r="B409" s="5" t="s">
        <v>86</v>
      </c>
      <c r="C409" s="5" t="s">
        <v>32</v>
      </c>
      <c r="D409" s="5"/>
      <c r="E409" s="5"/>
      <c r="F409" s="5" t="s">
        <v>813</v>
      </c>
    </row>
    <row r="410" spans="1:6" x14ac:dyDescent="0.3">
      <c r="A410" s="5"/>
      <c r="B410" s="5" t="s">
        <v>87</v>
      </c>
      <c r="C410" s="5" t="s">
        <v>27</v>
      </c>
      <c r="D410" s="5" t="s">
        <v>757</v>
      </c>
      <c r="E410" s="5" t="s">
        <v>758</v>
      </c>
      <c r="F410" s="5" t="s">
        <v>814</v>
      </c>
    </row>
    <row r="411" spans="1:6" x14ac:dyDescent="0.3">
      <c r="A411" s="5"/>
      <c r="B411" s="5" t="s">
        <v>87</v>
      </c>
      <c r="C411" s="5" t="s">
        <v>28</v>
      </c>
      <c r="D411" s="5"/>
      <c r="E411" s="5"/>
      <c r="F411" s="5" t="s">
        <v>815</v>
      </c>
    </row>
    <row r="412" spans="1:6" x14ac:dyDescent="0.3">
      <c r="A412" s="5"/>
      <c r="B412" s="5" t="s">
        <v>87</v>
      </c>
      <c r="C412" s="5" t="s">
        <v>29</v>
      </c>
      <c r="D412" s="5"/>
      <c r="E412" s="5"/>
      <c r="F412" s="5" t="s">
        <v>816</v>
      </c>
    </row>
    <row r="413" spans="1:6" x14ac:dyDescent="0.3">
      <c r="A413" s="5"/>
      <c r="B413" s="5" t="s">
        <v>87</v>
      </c>
      <c r="C413" s="5" t="s">
        <v>30</v>
      </c>
      <c r="D413" s="5"/>
      <c r="E413" s="5"/>
      <c r="F413" s="5" t="s">
        <v>817</v>
      </c>
    </row>
    <row r="414" spans="1:6" x14ac:dyDescent="0.3">
      <c r="A414" s="5"/>
      <c r="B414" s="5" t="s">
        <v>87</v>
      </c>
      <c r="C414" s="5" t="s">
        <v>31</v>
      </c>
      <c r="D414" s="5"/>
      <c r="E414" s="5"/>
      <c r="F414" s="5" t="s">
        <v>818</v>
      </c>
    </row>
    <row r="415" spans="1:6" x14ac:dyDescent="0.3">
      <c r="A415" s="5"/>
      <c r="B415" s="5" t="s">
        <v>87</v>
      </c>
      <c r="C415" s="5" t="s">
        <v>32</v>
      </c>
      <c r="D415" s="5"/>
      <c r="E415" s="5"/>
      <c r="F415" s="5" t="s">
        <v>819</v>
      </c>
    </row>
    <row r="416" spans="1:6" x14ac:dyDescent="0.3">
      <c r="A416" s="5"/>
      <c r="B416" s="5" t="s">
        <v>88</v>
      </c>
      <c r="C416" s="5" t="s">
        <v>27</v>
      </c>
      <c r="D416" s="5" t="s">
        <v>759</v>
      </c>
      <c r="E416" s="5" t="s">
        <v>760</v>
      </c>
      <c r="F416" s="5" t="s">
        <v>820</v>
      </c>
    </row>
    <row r="417" spans="1:6" x14ac:dyDescent="0.3">
      <c r="A417" s="5"/>
      <c r="B417" s="5" t="s">
        <v>88</v>
      </c>
      <c r="C417" s="5" t="s">
        <v>28</v>
      </c>
      <c r="D417" s="5"/>
      <c r="E417" s="5"/>
      <c r="F417" s="5" t="s">
        <v>821</v>
      </c>
    </row>
    <row r="418" spans="1:6" x14ac:dyDescent="0.3">
      <c r="A418" s="5"/>
      <c r="B418" s="5" t="s">
        <v>88</v>
      </c>
      <c r="C418" s="5" t="s">
        <v>29</v>
      </c>
      <c r="D418" s="5"/>
      <c r="E418" s="5"/>
      <c r="F418" s="5" t="s">
        <v>822</v>
      </c>
    </row>
    <row r="419" spans="1:6" x14ac:dyDescent="0.3">
      <c r="A419" s="5"/>
      <c r="B419" s="5" t="s">
        <v>88</v>
      </c>
      <c r="C419" s="5" t="s">
        <v>30</v>
      </c>
      <c r="D419" s="5"/>
      <c r="E419" s="5"/>
      <c r="F419" s="5" t="s">
        <v>823</v>
      </c>
    </row>
    <row r="420" spans="1:6" x14ac:dyDescent="0.3">
      <c r="A420" s="5"/>
      <c r="B420" s="5" t="s">
        <v>88</v>
      </c>
      <c r="C420" s="5" t="s">
        <v>31</v>
      </c>
      <c r="D420" s="5"/>
      <c r="E420" s="5"/>
      <c r="F420" s="5" t="s">
        <v>824</v>
      </c>
    </row>
    <row r="421" spans="1:6" x14ac:dyDescent="0.3">
      <c r="A421" s="5"/>
      <c r="B421" s="5" t="s">
        <v>88</v>
      </c>
      <c r="C421" s="5" t="s">
        <v>32</v>
      </c>
      <c r="D421" s="5"/>
      <c r="E421" s="5"/>
      <c r="F421" s="5" t="s">
        <v>825</v>
      </c>
    </row>
    <row r="422" spans="1:6" x14ac:dyDescent="0.3">
      <c r="A422" s="5"/>
      <c r="B422" s="5" t="s">
        <v>89</v>
      </c>
      <c r="C422" s="5" t="s">
        <v>27</v>
      </c>
      <c r="D422" s="5" t="s">
        <v>761</v>
      </c>
      <c r="E422" s="5" t="s">
        <v>762</v>
      </c>
      <c r="F422" s="5" t="s">
        <v>826</v>
      </c>
    </row>
    <row r="423" spans="1:6" x14ac:dyDescent="0.3">
      <c r="A423" s="5"/>
      <c r="B423" s="5" t="s">
        <v>89</v>
      </c>
      <c r="C423" s="5" t="s">
        <v>28</v>
      </c>
      <c r="D423" s="5"/>
      <c r="E423" s="5"/>
      <c r="F423" s="5" t="s">
        <v>827</v>
      </c>
    </row>
    <row r="424" spans="1:6" x14ac:dyDescent="0.3">
      <c r="A424" s="5"/>
      <c r="B424" s="5" t="s">
        <v>89</v>
      </c>
      <c r="C424" s="5" t="s">
        <v>29</v>
      </c>
      <c r="D424" s="5"/>
      <c r="E424" s="5"/>
      <c r="F424" s="5" t="s">
        <v>828</v>
      </c>
    </row>
    <row r="425" spans="1:6" x14ac:dyDescent="0.3">
      <c r="A425" s="5"/>
      <c r="B425" s="5" t="s">
        <v>89</v>
      </c>
      <c r="C425" s="5" t="s">
        <v>30</v>
      </c>
      <c r="D425" s="5"/>
      <c r="E425" s="5"/>
      <c r="F425" s="5" t="s">
        <v>829</v>
      </c>
    </row>
    <row r="426" spans="1:6" x14ac:dyDescent="0.3">
      <c r="A426" s="5"/>
      <c r="B426" s="5" t="s">
        <v>89</v>
      </c>
      <c r="C426" s="5" t="s">
        <v>31</v>
      </c>
      <c r="D426" s="5"/>
      <c r="E426" s="5"/>
      <c r="F426" s="5" t="s">
        <v>830</v>
      </c>
    </row>
    <row r="427" spans="1:6" x14ac:dyDescent="0.3">
      <c r="A427" s="5"/>
      <c r="B427" s="5" t="s">
        <v>89</v>
      </c>
      <c r="C427" s="5" t="s">
        <v>32</v>
      </c>
      <c r="D427" s="5"/>
      <c r="E427" s="5"/>
      <c r="F427" s="5" t="s">
        <v>831</v>
      </c>
    </row>
    <row r="428" spans="1:6" x14ac:dyDescent="0.3">
      <c r="A428" s="5"/>
      <c r="B428" s="5" t="s">
        <v>90</v>
      </c>
      <c r="C428" s="5" t="s">
        <v>27</v>
      </c>
      <c r="D428" s="5" t="s">
        <v>763</v>
      </c>
      <c r="E428" s="5" t="s">
        <v>764</v>
      </c>
      <c r="F428" s="5" t="s">
        <v>832</v>
      </c>
    </row>
    <row r="429" spans="1:6" x14ac:dyDescent="0.3">
      <c r="A429" s="5"/>
      <c r="B429" s="5" t="s">
        <v>90</v>
      </c>
      <c r="C429" s="5" t="s">
        <v>28</v>
      </c>
      <c r="D429" s="5"/>
      <c r="E429" s="5"/>
      <c r="F429" s="5" t="s">
        <v>833</v>
      </c>
    </row>
    <row r="430" spans="1:6" x14ac:dyDescent="0.3">
      <c r="A430" s="5"/>
      <c r="B430" s="5" t="s">
        <v>90</v>
      </c>
      <c r="C430" s="5" t="s">
        <v>29</v>
      </c>
      <c r="D430" s="5"/>
      <c r="E430" s="5"/>
      <c r="F430" s="5" t="s">
        <v>834</v>
      </c>
    </row>
    <row r="431" spans="1:6" x14ac:dyDescent="0.3">
      <c r="A431" s="5"/>
      <c r="B431" s="5" t="s">
        <v>90</v>
      </c>
      <c r="C431" s="5" t="s">
        <v>30</v>
      </c>
      <c r="D431" s="5"/>
      <c r="E431" s="5"/>
      <c r="F431" s="5" t="s">
        <v>835</v>
      </c>
    </row>
    <row r="432" spans="1:6" x14ac:dyDescent="0.3">
      <c r="A432" s="5"/>
      <c r="B432" s="5" t="s">
        <v>90</v>
      </c>
      <c r="C432" s="5" t="s">
        <v>31</v>
      </c>
      <c r="D432" s="5"/>
      <c r="E432" s="5"/>
      <c r="F432" s="5" t="s">
        <v>836</v>
      </c>
    </row>
    <row r="433" spans="1:6" x14ac:dyDescent="0.3">
      <c r="A433" s="5"/>
      <c r="B433" s="5" t="s">
        <v>90</v>
      </c>
      <c r="C433" s="5" t="s">
        <v>32</v>
      </c>
      <c r="D433" s="5"/>
      <c r="E433" s="5"/>
      <c r="F433" s="5" t="s">
        <v>837</v>
      </c>
    </row>
    <row r="434" spans="1:6" x14ac:dyDescent="0.3">
      <c r="A434" s="5"/>
      <c r="B434" s="5" t="s">
        <v>91</v>
      </c>
      <c r="C434" s="5" t="s">
        <v>27</v>
      </c>
      <c r="D434" s="5" t="s">
        <v>765</v>
      </c>
      <c r="E434" s="5" t="s">
        <v>766</v>
      </c>
      <c r="F434" s="5" t="s">
        <v>838</v>
      </c>
    </row>
    <row r="435" spans="1:6" x14ac:dyDescent="0.3">
      <c r="A435" s="5"/>
      <c r="B435" s="5" t="s">
        <v>91</v>
      </c>
      <c r="C435" s="5" t="s">
        <v>28</v>
      </c>
      <c r="D435" s="5"/>
      <c r="E435" s="5"/>
      <c r="F435" s="5" t="s">
        <v>839</v>
      </c>
    </row>
    <row r="436" spans="1:6" x14ac:dyDescent="0.3">
      <c r="A436" s="5"/>
      <c r="B436" s="5" t="s">
        <v>91</v>
      </c>
      <c r="C436" s="5" t="s">
        <v>29</v>
      </c>
      <c r="D436" s="5"/>
      <c r="E436" s="5"/>
      <c r="F436" s="5" t="s">
        <v>840</v>
      </c>
    </row>
    <row r="437" spans="1:6" x14ac:dyDescent="0.3">
      <c r="A437" s="5"/>
      <c r="B437" s="5" t="s">
        <v>91</v>
      </c>
      <c r="C437" s="5" t="s">
        <v>30</v>
      </c>
      <c r="D437" s="5"/>
      <c r="E437" s="5"/>
      <c r="F437" s="5" t="s">
        <v>841</v>
      </c>
    </row>
    <row r="438" spans="1:6" x14ac:dyDescent="0.3">
      <c r="A438" s="5"/>
      <c r="B438" s="5" t="s">
        <v>91</v>
      </c>
      <c r="C438" s="5" t="s">
        <v>31</v>
      </c>
      <c r="D438" s="5"/>
      <c r="E438" s="5"/>
      <c r="F438" s="5" t="s">
        <v>842</v>
      </c>
    </row>
    <row r="439" spans="1:6" x14ac:dyDescent="0.3">
      <c r="A439" s="5"/>
      <c r="B439" s="5" t="s">
        <v>91</v>
      </c>
      <c r="C439" s="5" t="s">
        <v>32</v>
      </c>
      <c r="D439" s="5"/>
      <c r="E439" s="5"/>
      <c r="F439" s="5" t="s">
        <v>843</v>
      </c>
    </row>
    <row r="440" spans="1:6" x14ac:dyDescent="0.3">
      <c r="A440" s="5"/>
      <c r="B440" s="5" t="s">
        <v>92</v>
      </c>
      <c r="C440" s="5" t="s">
        <v>27</v>
      </c>
      <c r="D440" s="5" t="s">
        <v>767</v>
      </c>
      <c r="E440" s="5" t="s">
        <v>768</v>
      </c>
      <c r="F440" s="5" t="s">
        <v>844</v>
      </c>
    </row>
    <row r="441" spans="1:6" x14ac:dyDescent="0.3">
      <c r="A441" s="5"/>
      <c r="B441" s="5" t="s">
        <v>92</v>
      </c>
      <c r="C441" s="5" t="s">
        <v>28</v>
      </c>
      <c r="D441" s="5"/>
      <c r="E441" s="5"/>
      <c r="F441" s="5" t="s">
        <v>845</v>
      </c>
    </row>
    <row r="442" spans="1:6" x14ac:dyDescent="0.3">
      <c r="A442" s="5"/>
      <c r="B442" s="5" t="s">
        <v>92</v>
      </c>
      <c r="C442" s="5" t="s">
        <v>29</v>
      </c>
      <c r="D442" s="5"/>
      <c r="E442" s="5"/>
      <c r="F442" s="5" t="s">
        <v>846</v>
      </c>
    </row>
    <row r="443" spans="1:6" x14ac:dyDescent="0.3">
      <c r="A443" s="5"/>
      <c r="B443" s="5" t="s">
        <v>92</v>
      </c>
      <c r="C443" s="5" t="s">
        <v>30</v>
      </c>
      <c r="D443" s="5"/>
      <c r="E443" s="5"/>
      <c r="F443" s="5" t="s">
        <v>847</v>
      </c>
    </row>
    <row r="444" spans="1:6" x14ac:dyDescent="0.3">
      <c r="A444" s="5"/>
      <c r="B444" s="5" t="s">
        <v>92</v>
      </c>
      <c r="C444" s="5" t="s">
        <v>31</v>
      </c>
      <c r="D444" s="5"/>
      <c r="E444" s="5"/>
      <c r="F444" s="5" t="s">
        <v>848</v>
      </c>
    </row>
    <row r="445" spans="1:6" x14ac:dyDescent="0.3">
      <c r="A445" s="5"/>
      <c r="B445" s="5" t="s">
        <v>92</v>
      </c>
      <c r="C445" s="5" t="s">
        <v>32</v>
      </c>
      <c r="D445" s="5"/>
      <c r="E445" s="5"/>
      <c r="F445" s="5" t="s">
        <v>849</v>
      </c>
    </row>
    <row r="446" spans="1:6" x14ac:dyDescent="0.3">
      <c r="A446" s="5" t="s">
        <v>12</v>
      </c>
      <c r="B446" s="5" t="s">
        <v>93</v>
      </c>
      <c r="C446" s="5" t="s">
        <v>27</v>
      </c>
      <c r="D446" s="5" t="s">
        <v>769</v>
      </c>
      <c r="E446" s="5" t="s">
        <v>770</v>
      </c>
      <c r="F446" s="5" t="s">
        <v>790</v>
      </c>
    </row>
    <row r="447" spans="1:6" x14ac:dyDescent="0.3">
      <c r="A447" s="5"/>
      <c r="B447" s="5" t="s">
        <v>93</v>
      </c>
      <c r="C447" s="5" t="s">
        <v>28</v>
      </c>
      <c r="D447" s="5"/>
      <c r="E447" s="5"/>
      <c r="F447" s="5" t="s">
        <v>791</v>
      </c>
    </row>
    <row r="448" spans="1:6" x14ac:dyDescent="0.3">
      <c r="A448" s="5"/>
      <c r="B448" s="5" t="s">
        <v>93</v>
      </c>
      <c r="C448" s="5" t="s">
        <v>29</v>
      </c>
      <c r="D448" s="5"/>
      <c r="E448" s="5"/>
      <c r="F448" s="5" t="s">
        <v>792</v>
      </c>
    </row>
    <row r="449" spans="1:6" x14ac:dyDescent="0.3">
      <c r="A449" s="5"/>
      <c r="B449" s="5" t="s">
        <v>93</v>
      </c>
      <c r="C449" s="5" t="s">
        <v>30</v>
      </c>
      <c r="D449" s="5"/>
      <c r="E449" s="5"/>
      <c r="F449" s="5" t="s">
        <v>793</v>
      </c>
    </row>
    <row r="450" spans="1:6" x14ac:dyDescent="0.3">
      <c r="A450" s="5"/>
      <c r="B450" s="5" t="s">
        <v>93</v>
      </c>
      <c r="C450" s="5" t="s">
        <v>31</v>
      </c>
      <c r="D450" s="5"/>
      <c r="E450" s="5"/>
      <c r="F450" s="5" t="s">
        <v>794</v>
      </c>
    </row>
    <row r="451" spans="1:6" x14ac:dyDescent="0.3">
      <c r="A451" s="5"/>
      <c r="B451" s="5" t="s">
        <v>93</v>
      </c>
      <c r="C451" s="5" t="s">
        <v>32</v>
      </c>
      <c r="D451" s="5"/>
      <c r="E451" s="5"/>
      <c r="F451" s="5" t="s">
        <v>795</v>
      </c>
    </row>
    <row r="452" spans="1:6" x14ac:dyDescent="0.3">
      <c r="A452" s="5"/>
      <c r="B452" s="5" t="s">
        <v>94</v>
      </c>
      <c r="C452" s="5" t="s">
        <v>27</v>
      </c>
      <c r="D452" s="5" t="s">
        <v>771</v>
      </c>
      <c r="E452" s="5" t="s">
        <v>772</v>
      </c>
      <c r="F452" s="5" t="s">
        <v>796</v>
      </c>
    </row>
    <row r="453" spans="1:6" x14ac:dyDescent="0.3">
      <c r="A453" s="5"/>
      <c r="B453" s="5" t="s">
        <v>94</v>
      </c>
      <c r="C453" s="5" t="s">
        <v>28</v>
      </c>
      <c r="D453" s="5"/>
      <c r="E453" s="5"/>
      <c r="F453" s="5" t="s">
        <v>797</v>
      </c>
    </row>
    <row r="454" spans="1:6" x14ac:dyDescent="0.3">
      <c r="A454" s="5"/>
      <c r="B454" s="5" t="s">
        <v>94</v>
      </c>
      <c r="C454" s="5" t="s">
        <v>29</v>
      </c>
      <c r="D454" s="5"/>
      <c r="E454" s="5"/>
      <c r="F454" s="5" t="s">
        <v>798</v>
      </c>
    </row>
    <row r="455" spans="1:6" x14ac:dyDescent="0.3">
      <c r="A455" s="5"/>
      <c r="B455" s="5" t="s">
        <v>94</v>
      </c>
      <c r="C455" s="5" t="s">
        <v>30</v>
      </c>
      <c r="D455" s="5"/>
      <c r="E455" s="5"/>
      <c r="F455" s="5" t="s">
        <v>799</v>
      </c>
    </row>
    <row r="456" spans="1:6" x14ac:dyDescent="0.3">
      <c r="A456" s="5"/>
      <c r="B456" s="5" t="s">
        <v>94</v>
      </c>
      <c r="C456" s="5" t="s">
        <v>31</v>
      </c>
      <c r="D456" s="5"/>
      <c r="E456" s="5"/>
      <c r="F456" s="5" t="s">
        <v>800</v>
      </c>
    </row>
    <row r="457" spans="1:6" x14ac:dyDescent="0.3">
      <c r="A457" s="5"/>
      <c r="B457" s="5" t="s">
        <v>94</v>
      </c>
      <c r="C457" s="5" t="s">
        <v>32</v>
      </c>
      <c r="D457" s="5"/>
      <c r="E457" s="5"/>
      <c r="F457" s="5" t="s">
        <v>801</v>
      </c>
    </row>
    <row r="458" spans="1:6" x14ac:dyDescent="0.3">
      <c r="A458" s="5"/>
      <c r="B458" s="5" t="s">
        <v>95</v>
      </c>
      <c r="C458" s="5" t="s">
        <v>27</v>
      </c>
      <c r="D458" s="5" t="s">
        <v>773</v>
      </c>
      <c r="E458" s="5" t="s">
        <v>774</v>
      </c>
      <c r="F458" s="5" t="s">
        <v>802</v>
      </c>
    </row>
    <row r="459" spans="1:6" x14ac:dyDescent="0.3">
      <c r="A459" s="5"/>
      <c r="B459" s="5" t="s">
        <v>95</v>
      </c>
      <c r="C459" s="5" t="s">
        <v>28</v>
      </c>
      <c r="D459" s="5"/>
      <c r="E459" s="5"/>
      <c r="F459" s="5" t="s">
        <v>803</v>
      </c>
    </row>
    <row r="460" spans="1:6" x14ac:dyDescent="0.3">
      <c r="A460" s="5"/>
      <c r="B460" s="5" t="s">
        <v>95</v>
      </c>
      <c r="C460" s="5" t="s">
        <v>29</v>
      </c>
      <c r="D460" s="5"/>
      <c r="E460" s="5"/>
      <c r="F460" s="5" t="s">
        <v>804</v>
      </c>
    </row>
    <row r="461" spans="1:6" x14ac:dyDescent="0.3">
      <c r="A461" s="5"/>
      <c r="B461" s="5" t="s">
        <v>95</v>
      </c>
      <c r="C461" s="5" t="s">
        <v>30</v>
      </c>
      <c r="D461" s="5"/>
      <c r="E461" s="5"/>
      <c r="F461" s="5" t="s">
        <v>805</v>
      </c>
    </row>
    <row r="462" spans="1:6" x14ac:dyDescent="0.3">
      <c r="A462" s="5"/>
      <c r="B462" s="5" t="s">
        <v>95</v>
      </c>
      <c r="C462" s="5" t="s">
        <v>31</v>
      </c>
      <c r="D462" s="5"/>
      <c r="E462" s="5"/>
      <c r="F462" s="5" t="s">
        <v>806</v>
      </c>
    </row>
    <row r="463" spans="1:6" x14ac:dyDescent="0.3">
      <c r="A463" s="5"/>
      <c r="B463" s="5" t="s">
        <v>95</v>
      </c>
      <c r="C463" s="5" t="s">
        <v>32</v>
      </c>
      <c r="D463" s="5"/>
      <c r="E463" s="5"/>
      <c r="F463" s="5" t="s">
        <v>807</v>
      </c>
    </row>
    <row r="464" spans="1:6" x14ac:dyDescent="0.3">
      <c r="A464" s="5"/>
      <c r="B464" s="5" t="s">
        <v>96</v>
      </c>
      <c r="C464" s="5" t="s">
        <v>27</v>
      </c>
      <c r="D464" s="5" t="s">
        <v>775</v>
      </c>
      <c r="E464" s="5" t="s">
        <v>776</v>
      </c>
      <c r="F464" s="5" t="s">
        <v>808</v>
      </c>
    </row>
    <row r="465" spans="1:6" x14ac:dyDescent="0.3">
      <c r="A465" s="5"/>
      <c r="B465" s="5" t="s">
        <v>96</v>
      </c>
      <c r="C465" s="5" t="s">
        <v>28</v>
      </c>
      <c r="D465" s="5"/>
      <c r="E465" s="5"/>
      <c r="F465" s="5" t="s">
        <v>809</v>
      </c>
    </row>
    <row r="466" spans="1:6" x14ac:dyDescent="0.3">
      <c r="A466" s="5"/>
      <c r="B466" s="5" t="s">
        <v>96</v>
      </c>
      <c r="C466" s="5" t="s">
        <v>29</v>
      </c>
      <c r="D466" s="5"/>
      <c r="E466" s="5"/>
      <c r="F466" s="5" t="s">
        <v>810</v>
      </c>
    </row>
    <row r="467" spans="1:6" x14ac:dyDescent="0.3">
      <c r="A467" s="5"/>
      <c r="B467" s="5" t="s">
        <v>96</v>
      </c>
      <c r="C467" s="5" t="s">
        <v>30</v>
      </c>
      <c r="D467" s="5"/>
      <c r="E467" s="5"/>
      <c r="F467" s="5" t="s">
        <v>811</v>
      </c>
    </row>
    <row r="468" spans="1:6" x14ac:dyDescent="0.3">
      <c r="A468" s="5"/>
      <c r="B468" s="5" t="s">
        <v>96</v>
      </c>
      <c r="C468" s="5" t="s">
        <v>31</v>
      </c>
      <c r="D468" s="5"/>
      <c r="E468" s="5"/>
      <c r="F468" s="5" t="s">
        <v>812</v>
      </c>
    </row>
    <row r="469" spans="1:6" x14ac:dyDescent="0.3">
      <c r="A469" s="5"/>
      <c r="B469" s="5" t="s">
        <v>96</v>
      </c>
      <c r="C469" s="5" t="s">
        <v>32</v>
      </c>
      <c r="D469" s="5"/>
      <c r="E469" s="5"/>
      <c r="F469" s="5" t="s">
        <v>813</v>
      </c>
    </row>
    <row r="470" spans="1:6" x14ac:dyDescent="0.3">
      <c r="A470" s="5"/>
      <c r="B470" s="5" t="s">
        <v>97</v>
      </c>
      <c r="C470" s="5" t="s">
        <v>27</v>
      </c>
      <c r="D470" s="5" t="s">
        <v>777</v>
      </c>
      <c r="E470" s="5" t="s">
        <v>778</v>
      </c>
      <c r="F470" s="5" t="s">
        <v>814</v>
      </c>
    </row>
    <row r="471" spans="1:6" x14ac:dyDescent="0.3">
      <c r="A471" s="5"/>
      <c r="B471" s="5" t="s">
        <v>97</v>
      </c>
      <c r="C471" s="5" t="s">
        <v>28</v>
      </c>
      <c r="D471" s="5"/>
      <c r="E471" s="5"/>
      <c r="F471" s="5" t="s">
        <v>815</v>
      </c>
    </row>
    <row r="472" spans="1:6" x14ac:dyDescent="0.3">
      <c r="A472" s="5"/>
      <c r="B472" s="5" t="s">
        <v>97</v>
      </c>
      <c r="C472" s="5" t="s">
        <v>29</v>
      </c>
      <c r="D472" s="5"/>
      <c r="E472" s="5"/>
      <c r="F472" s="5" t="s">
        <v>816</v>
      </c>
    </row>
    <row r="473" spans="1:6" x14ac:dyDescent="0.3">
      <c r="A473" s="5"/>
      <c r="B473" s="5" t="s">
        <v>97</v>
      </c>
      <c r="C473" s="5" t="s">
        <v>30</v>
      </c>
      <c r="D473" s="5"/>
      <c r="E473" s="5"/>
      <c r="F473" s="5" t="s">
        <v>817</v>
      </c>
    </row>
    <row r="474" spans="1:6" x14ac:dyDescent="0.3">
      <c r="A474" s="5"/>
      <c r="B474" s="5" t="s">
        <v>97</v>
      </c>
      <c r="C474" s="5" t="s">
        <v>31</v>
      </c>
      <c r="D474" s="5"/>
      <c r="E474" s="5"/>
      <c r="F474" s="5" t="s">
        <v>818</v>
      </c>
    </row>
    <row r="475" spans="1:6" x14ac:dyDescent="0.3">
      <c r="A475" s="5"/>
      <c r="B475" s="5" t="s">
        <v>97</v>
      </c>
      <c r="C475" s="5" t="s">
        <v>32</v>
      </c>
      <c r="D475" s="5"/>
      <c r="E475" s="5"/>
      <c r="F475" s="5" t="s">
        <v>819</v>
      </c>
    </row>
    <row r="476" spans="1:6" x14ac:dyDescent="0.3">
      <c r="A476" s="5"/>
      <c r="B476" s="5" t="s">
        <v>98</v>
      </c>
      <c r="C476" s="5" t="s">
        <v>27</v>
      </c>
      <c r="D476" s="5" t="s">
        <v>779</v>
      </c>
      <c r="E476" s="5" t="s">
        <v>780</v>
      </c>
      <c r="F476" s="5" t="s">
        <v>820</v>
      </c>
    </row>
    <row r="477" spans="1:6" x14ac:dyDescent="0.3">
      <c r="A477" s="5"/>
      <c r="B477" s="5" t="s">
        <v>98</v>
      </c>
      <c r="C477" s="5" t="s">
        <v>28</v>
      </c>
      <c r="D477" s="5"/>
      <c r="E477" s="5"/>
      <c r="F477" s="5" t="s">
        <v>821</v>
      </c>
    </row>
    <row r="478" spans="1:6" x14ac:dyDescent="0.3">
      <c r="A478" s="5"/>
      <c r="B478" s="5" t="s">
        <v>98</v>
      </c>
      <c r="C478" s="5" t="s">
        <v>29</v>
      </c>
      <c r="D478" s="5"/>
      <c r="E478" s="5"/>
      <c r="F478" s="5" t="s">
        <v>822</v>
      </c>
    </row>
    <row r="479" spans="1:6" x14ac:dyDescent="0.3">
      <c r="A479" s="5"/>
      <c r="B479" s="5" t="s">
        <v>98</v>
      </c>
      <c r="C479" s="5" t="s">
        <v>30</v>
      </c>
      <c r="D479" s="5"/>
      <c r="E479" s="5"/>
      <c r="F479" s="5" t="s">
        <v>823</v>
      </c>
    </row>
    <row r="480" spans="1:6" x14ac:dyDescent="0.3">
      <c r="A480" s="5"/>
      <c r="B480" s="5" t="s">
        <v>98</v>
      </c>
      <c r="C480" s="5" t="s">
        <v>31</v>
      </c>
      <c r="D480" s="5"/>
      <c r="E480" s="5"/>
      <c r="F480" s="5" t="s">
        <v>824</v>
      </c>
    </row>
    <row r="481" spans="1:6" x14ac:dyDescent="0.3">
      <c r="A481" s="5"/>
      <c r="B481" s="5" t="s">
        <v>98</v>
      </c>
      <c r="C481" s="5" t="s">
        <v>32</v>
      </c>
      <c r="D481" s="5"/>
      <c r="E481" s="5"/>
      <c r="F481" s="5" t="s">
        <v>825</v>
      </c>
    </row>
    <row r="482" spans="1:6" x14ac:dyDescent="0.3">
      <c r="A482" s="5"/>
      <c r="B482" s="5" t="s">
        <v>99</v>
      </c>
      <c r="C482" s="5" t="s">
        <v>27</v>
      </c>
      <c r="D482" s="5" t="s">
        <v>781</v>
      </c>
      <c r="E482" s="5" t="s">
        <v>782</v>
      </c>
      <c r="F482" s="5" t="s">
        <v>826</v>
      </c>
    </row>
    <row r="483" spans="1:6" x14ac:dyDescent="0.3">
      <c r="A483" s="5"/>
      <c r="B483" s="5" t="s">
        <v>99</v>
      </c>
      <c r="C483" s="5" t="s">
        <v>28</v>
      </c>
      <c r="D483" s="5"/>
      <c r="E483" s="5"/>
      <c r="F483" s="5" t="s">
        <v>827</v>
      </c>
    </row>
    <row r="484" spans="1:6" x14ac:dyDescent="0.3">
      <c r="A484" s="5"/>
      <c r="B484" s="5" t="s">
        <v>99</v>
      </c>
      <c r="C484" s="5" t="s">
        <v>29</v>
      </c>
      <c r="D484" s="5"/>
      <c r="E484" s="5"/>
      <c r="F484" s="5" t="s">
        <v>828</v>
      </c>
    </row>
    <row r="485" spans="1:6" x14ac:dyDescent="0.3">
      <c r="A485" s="5"/>
      <c r="B485" s="5" t="s">
        <v>99</v>
      </c>
      <c r="C485" s="5" t="s">
        <v>30</v>
      </c>
      <c r="D485" s="5"/>
      <c r="E485" s="5"/>
      <c r="F485" s="5" t="s">
        <v>829</v>
      </c>
    </row>
    <row r="486" spans="1:6" x14ac:dyDescent="0.3">
      <c r="A486" s="5"/>
      <c r="B486" s="5" t="s">
        <v>99</v>
      </c>
      <c r="C486" s="5" t="s">
        <v>31</v>
      </c>
      <c r="D486" s="5"/>
      <c r="E486" s="5"/>
      <c r="F486" s="5" t="s">
        <v>830</v>
      </c>
    </row>
    <row r="487" spans="1:6" x14ac:dyDescent="0.3">
      <c r="A487" s="5"/>
      <c r="B487" s="5" t="s">
        <v>99</v>
      </c>
      <c r="C487" s="5" t="s">
        <v>32</v>
      </c>
      <c r="D487" s="5"/>
      <c r="E487" s="5"/>
      <c r="F487" s="5" t="s">
        <v>831</v>
      </c>
    </row>
    <row r="488" spans="1:6" x14ac:dyDescent="0.3">
      <c r="A488" s="5"/>
      <c r="B488" s="5" t="s">
        <v>100</v>
      </c>
      <c r="C488" s="5" t="s">
        <v>27</v>
      </c>
      <c r="D488" s="5" t="s">
        <v>783</v>
      </c>
      <c r="E488" s="5" t="s">
        <v>784</v>
      </c>
      <c r="F488" s="5" t="s">
        <v>832</v>
      </c>
    </row>
    <row r="489" spans="1:6" x14ac:dyDescent="0.3">
      <c r="A489" s="5"/>
      <c r="B489" s="5" t="s">
        <v>100</v>
      </c>
      <c r="C489" s="5" t="s">
        <v>28</v>
      </c>
      <c r="D489" s="5"/>
      <c r="E489" s="5"/>
      <c r="F489" s="5" t="s">
        <v>833</v>
      </c>
    </row>
    <row r="490" spans="1:6" x14ac:dyDescent="0.3">
      <c r="A490" s="5"/>
      <c r="B490" s="5" t="s">
        <v>100</v>
      </c>
      <c r="C490" s="5" t="s">
        <v>29</v>
      </c>
      <c r="D490" s="5"/>
      <c r="E490" s="5"/>
      <c r="F490" s="5" t="s">
        <v>834</v>
      </c>
    </row>
    <row r="491" spans="1:6" x14ac:dyDescent="0.3">
      <c r="A491" s="5"/>
      <c r="B491" s="5" t="s">
        <v>100</v>
      </c>
      <c r="C491" s="5" t="s">
        <v>30</v>
      </c>
      <c r="D491" s="5"/>
      <c r="E491" s="5"/>
      <c r="F491" s="5" t="s">
        <v>835</v>
      </c>
    </row>
    <row r="492" spans="1:6" x14ac:dyDescent="0.3">
      <c r="A492" s="5"/>
      <c r="B492" s="5" t="s">
        <v>100</v>
      </c>
      <c r="C492" s="5" t="s">
        <v>31</v>
      </c>
      <c r="D492" s="5"/>
      <c r="E492" s="5"/>
      <c r="F492" s="5" t="s">
        <v>836</v>
      </c>
    </row>
    <row r="493" spans="1:6" x14ac:dyDescent="0.3">
      <c r="A493" s="5"/>
      <c r="B493" s="5" t="s">
        <v>100</v>
      </c>
      <c r="C493" s="5" t="s">
        <v>32</v>
      </c>
      <c r="D493" s="5"/>
      <c r="E493" s="5"/>
      <c r="F493" s="5" t="s">
        <v>837</v>
      </c>
    </row>
    <row r="494" spans="1:6" x14ac:dyDescent="0.3">
      <c r="A494" s="5"/>
      <c r="B494" s="5" t="s">
        <v>101</v>
      </c>
      <c r="C494" s="5" t="s">
        <v>27</v>
      </c>
      <c r="D494" s="5" t="s">
        <v>785</v>
      </c>
      <c r="E494" s="5" t="s">
        <v>786</v>
      </c>
      <c r="F494" s="5" t="s">
        <v>838</v>
      </c>
    </row>
    <row r="495" spans="1:6" x14ac:dyDescent="0.3">
      <c r="A495" s="5"/>
      <c r="B495" s="5" t="s">
        <v>101</v>
      </c>
      <c r="C495" s="5" t="s">
        <v>28</v>
      </c>
      <c r="D495" s="5"/>
      <c r="E495" s="5"/>
      <c r="F495" s="5" t="s">
        <v>839</v>
      </c>
    </row>
    <row r="496" spans="1:6" x14ac:dyDescent="0.3">
      <c r="A496" s="5"/>
      <c r="B496" s="5" t="s">
        <v>101</v>
      </c>
      <c r="C496" s="5" t="s">
        <v>29</v>
      </c>
      <c r="D496" s="5"/>
      <c r="E496" s="5"/>
      <c r="F496" s="5" t="s">
        <v>840</v>
      </c>
    </row>
    <row r="497" spans="1:6" x14ac:dyDescent="0.3">
      <c r="A497" s="5"/>
      <c r="B497" s="5" t="s">
        <v>101</v>
      </c>
      <c r="C497" s="5" t="s">
        <v>30</v>
      </c>
      <c r="D497" s="5"/>
      <c r="E497" s="5"/>
      <c r="F497" s="5" t="s">
        <v>841</v>
      </c>
    </row>
    <row r="498" spans="1:6" x14ac:dyDescent="0.3">
      <c r="A498" s="5"/>
      <c r="B498" s="5" t="s">
        <v>101</v>
      </c>
      <c r="C498" s="5" t="s">
        <v>31</v>
      </c>
      <c r="D498" s="5"/>
      <c r="E498" s="5"/>
      <c r="F498" s="5" t="s">
        <v>842</v>
      </c>
    </row>
    <row r="499" spans="1:6" x14ac:dyDescent="0.3">
      <c r="A499" s="5"/>
      <c r="B499" s="5" t="s">
        <v>101</v>
      </c>
      <c r="C499" s="5" t="s">
        <v>32</v>
      </c>
      <c r="D499" s="5"/>
      <c r="E499" s="5"/>
      <c r="F499" s="5" t="s">
        <v>843</v>
      </c>
    </row>
    <row r="500" spans="1:6" x14ac:dyDescent="0.3">
      <c r="A500" s="5"/>
      <c r="B500" s="5" t="s">
        <v>102</v>
      </c>
      <c r="C500" s="5" t="s">
        <v>27</v>
      </c>
      <c r="D500" s="5" t="s">
        <v>787</v>
      </c>
      <c r="E500" s="5" t="s">
        <v>788</v>
      </c>
      <c r="F500" s="5" t="s">
        <v>844</v>
      </c>
    </row>
    <row r="501" spans="1:6" x14ac:dyDescent="0.3">
      <c r="A501" s="5"/>
      <c r="B501" s="5" t="s">
        <v>102</v>
      </c>
      <c r="C501" s="5" t="s">
        <v>28</v>
      </c>
      <c r="D501" s="5"/>
      <c r="E501" s="5"/>
      <c r="F501" s="5" t="s">
        <v>845</v>
      </c>
    </row>
    <row r="502" spans="1:6" x14ac:dyDescent="0.3">
      <c r="A502" s="5"/>
      <c r="B502" s="5" t="s">
        <v>102</v>
      </c>
      <c r="C502" s="5" t="s">
        <v>29</v>
      </c>
      <c r="D502" s="5"/>
      <c r="E502" s="5"/>
      <c r="F502" s="5" t="s">
        <v>846</v>
      </c>
    </row>
    <row r="503" spans="1:6" x14ac:dyDescent="0.3">
      <c r="A503" s="5"/>
      <c r="B503" s="5" t="s">
        <v>102</v>
      </c>
      <c r="C503" s="5" t="s">
        <v>30</v>
      </c>
      <c r="D503" s="5"/>
      <c r="E503" s="5"/>
      <c r="F503" s="5" t="s">
        <v>847</v>
      </c>
    </row>
    <row r="504" spans="1:6" x14ac:dyDescent="0.3">
      <c r="A504" s="5"/>
      <c r="B504" s="5" t="s">
        <v>102</v>
      </c>
      <c r="C504" s="5" t="s">
        <v>31</v>
      </c>
      <c r="D504" s="5"/>
      <c r="E504" s="5"/>
      <c r="F504" s="5" t="s">
        <v>848</v>
      </c>
    </row>
    <row r="505" spans="1:6" x14ac:dyDescent="0.3">
      <c r="A505" s="5"/>
      <c r="B505" s="5" t="s">
        <v>102</v>
      </c>
      <c r="C505" s="5" t="s">
        <v>32</v>
      </c>
      <c r="D505" s="5"/>
      <c r="E505" s="5"/>
      <c r="F505" s="5" t="s">
        <v>849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4D5BA9-F0F0-4C3D-83A8-BED9E45862F1}">
  <dimension ref="A1:I101"/>
  <sheetViews>
    <sheetView workbookViewId="0">
      <pane ySplit="1" topLeftCell="A59" activePane="bottomLeft" state="frozen"/>
      <selection pane="bottomLeft"/>
    </sheetView>
  </sheetViews>
  <sheetFormatPr defaultRowHeight="14.4" x14ac:dyDescent="0.3"/>
  <cols>
    <col min="1" max="1" width="8" bestFit="1" customWidth="1"/>
    <col min="2" max="2" width="16.33203125" bestFit="1" customWidth="1"/>
    <col min="3" max="3" width="30.77734375" bestFit="1" customWidth="1"/>
    <col min="4" max="4" width="20.21875" bestFit="1" customWidth="1"/>
    <col min="5" max="5" width="13.5546875" bestFit="1" customWidth="1"/>
    <col min="6" max="6" width="15.77734375" bestFit="1" customWidth="1"/>
    <col min="7" max="7" width="12.21875" bestFit="1" customWidth="1"/>
    <col min="8" max="8" width="6.5546875" bestFit="1" customWidth="1"/>
    <col min="9" max="9" width="10.33203125" bestFit="1" customWidth="1"/>
  </cols>
  <sheetData>
    <row r="1" spans="1:9" x14ac:dyDescent="0.3">
      <c r="A1" s="17" t="s">
        <v>935</v>
      </c>
      <c r="B1" s="17" t="s">
        <v>864</v>
      </c>
      <c r="C1" s="17" t="s">
        <v>865</v>
      </c>
      <c r="D1" s="17" t="s">
        <v>936</v>
      </c>
      <c r="E1" s="17" t="s">
        <v>1</v>
      </c>
      <c r="F1" s="17" t="s">
        <v>937</v>
      </c>
      <c r="G1" s="17" t="s">
        <v>938</v>
      </c>
      <c r="H1" s="17" t="s">
        <v>112</v>
      </c>
      <c r="I1" s="17" t="s">
        <v>939</v>
      </c>
    </row>
    <row r="2" spans="1:9" x14ac:dyDescent="0.3">
      <c r="A2" s="5" t="s">
        <v>940</v>
      </c>
      <c r="B2" s="5" t="s">
        <v>941</v>
      </c>
      <c r="C2" s="5" t="s">
        <v>942</v>
      </c>
      <c r="D2" s="5" t="s">
        <v>943</v>
      </c>
      <c r="E2" s="5" t="s">
        <v>9</v>
      </c>
      <c r="F2" s="5" t="s">
        <v>944</v>
      </c>
      <c r="G2" s="5" t="s">
        <v>945</v>
      </c>
      <c r="H2" s="5" t="s">
        <v>874</v>
      </c>
      <c r="I2" s="6">
        <v>46198</v>
      </c>
    </row>
    <row r="3" spans="1:9" x14ac:dyDescent="0.3">
      <c r="A3" s="5" t="s">
        <v>946</v>
      </c>
      <c r="B3" s="5" t="s">
        <v>947</v>
      </c>
      <c r="C3" s="5" t="s">
        <v>948</v>
      </c>
      <c r="D3" s="5" t="s">
        <v>943</v>
      </c>
      <c r="E3" s="5" t="s">
        <v>9</v>
      </c>
      <c r="F3" s="5" t="s">
        <v>944</v>
      </c>
      <c r="G3" s="5" t="s">
        <v>945</v>
      </c>
      <c r="H3" s="5" t="s">
        <v>874</v>
      </c>
      <c r="I3" s="6">
        <v>46198</v>
      </c>
    </row>
    <row r="4" spans="1:9" x14ac:dyDescent="0.3">
      <c r="A4" s="5" t="s">
        <v>949</v>
      </c>
      <c r="B4" s="5" t="s">
        <v>950</v>
      </c>
      <c r="C4" s="5" t="s">
        <v>951</v>
      </c>
      <c r="D4" s="5" t="s">
        <v>943</v>
      </c>
      <c r="E4" s="5" t="s">
        <v>9</v>
      </c>
      <c r="F4" s="5" t="s">
        <v>944</v>
      </c>
      <c r="G4" s="5" t="s">
        <v>945</v>
      </c>
      <c r="H4" s="5" t="s">
        <v>874</v>
      </c>
      <c r="I4" s="6">
        <v>46197</v>
      </c>
    </row>
    <row r="5" spans="1:9" x14ac:dyDescent="0.3">
      <c r="A5" s="5" t="s">
        <v>952</v>
      </c>
      <c r="B5" s="5" t="s">
        <v>953</v>
      </c>
      <c r="C5" s="5" t="s">
        <v>954</v>
      </c>
      <c r="D5" s="5" t="s">
        <v>943</v>
      </c>
      <c r="E5" s="5" t="s">
        <v>9</v>
      </c>
      <c r="F5" s="5" t="s">
        <v>944</v>
      </c>
      <c r="G5" s="5" t="s">
        <v>945</v>
      </c>
      <c r="H5" s="5" t="s">
        <v>874</v>
      </c>
      <c r="I5" s="6">
        <v>46198</v>
      </c>
    </row>
    <row r="6" spans="1:9" x14ac:dyDescent="0.3">
      <c r="A6" s="5" t="s">
        <v>955</v>
      </c>
      <c r="B6" s="5" t="s">
        <v>956</v>
      </c>
      <c r="C6" s="5" t="s">
        <v>957</v>
      </c>
      <c r="D6" s="5" t="s">
        <v>943</v>
      </c>
      <c r="E6" s="5" t="s">
        <v>9</v>
      </c>
      <c r="F6" s="5" t="s">
        <v>944</v>
      </c>
      <c r="G6" s="5" t="s">
        <v>945</v>
      </c>
      <c r="H6" s="5" t="s">
        <v>874</v>
      </c>
      <c r="I6" s="6">
        <v>46197</v>
      </c>
    </row>
    <row r="7" spans="1:9" x14ac:dyDescent="0.3">
      <c r="A7" s="5" t="s">
        <v>958</v>
      </c>
      <c r="B7" s="5" t="s">
        <v>959</v>
      </c>
      <c r="C7" s="5" t="s">
        <v>960</v>
      </c>
      <c r="D7" s="5" t="s">
        <v>943</v>
      </c>
      <c r="E7" s="5" t="s">
        <v>9</v>
      </c>
      <c r="F7" s="5" t="s">
        <v>944</v>
      </c>
      <c r="G7" s="5" t="s">
        <v>945</v>
      </c>
      <c r="H7" s="5" t="s">
        <v>874</v>
      </c>
      <c r="I7" s="6">
        <v>46198</v>
      </c>
    </row>
    <row r="8" spans="1:9" x14ac:dyDescent="0.3">
      <c r="A8" s="5" t="s">
        <v>961</v>
      </c>
      <c r="B8" s="5" t="s">
        <v>962</v>
      </c>
      <c r="C8" s="5" t="s">
        <v>963</v>
      </c>
      <c r="D8" s="5" t="s">
        <v>943</v>
      </c>
      <c r="E8" s="5" t="s">
        <v>9</v>
      </c>
      <c r="F8" s="5" t="s">
        <v>944</v>
      </c>
      <c r="G8" s="5" t="s">
        <v>945</v>
      </c>
      <c r="H8" s="5" t="s">
        <v>874</v>
      </c>
      <c r="I8" s="6">
        <v>46196</v>
      </c>
    </row>
    <row r="9" spans="1:9" x14ac:dyDescent="0.3">
      <c r="A9" s="5" t="s">
        <v>964</v>
      </c>
      <c r="B9" s="5" t="s">
        <v>965</v>
      </c>
      <c r="C9" s="5" t="s">
        <v>966</v>
      </c>
      <c r="D9" s="5" t="s">
        <v>943</v>
      </c>
      <c r="E9" s="5" t="s">
        <v>9</v>
      </c>
      <c r="F9" s="5" t="s">
        <v>944</v>
      </c>
      <c r="G9" s="5" t="s">
        <v>945</v>
      </c>
      <c r="H9" s="5" t="s">
        <v>874</v>
      </c>
      <c r="I9" s="6">
        <v>46198</v>
      </c>
    </row>
    <row r="10" spans="1:9" x14ac:dyDescent="0.3">
      <c r="A10" s="5" t="s">
        <v>967</v>
      </c>
      <c r="B10" s="5" t="s">
        <v>968</v>
      </c>
      <c r="C10" s="5" t="s">
        <v>969</v>
      </c>
      <c r="D10" s="5" t="s">
        <v>943</v>
      </c>
      <c r="E10" s="5" t="s">
        <v>9</v>
      </c>
      <c r="F10" s="5" t="s">
        <v>944</v>
      </c>
      <c r="G10" s="5" t="s">
        <v>945</v>
      </c>
      <c r="H10" s="5" t="s">
        <v>874</v>
      </c>
      <c r="I10" s="6">
        <v>46197</v>
      </c>
    </row>
    <row r="11" spans="1:9" x14ac:dyDescent="0.3">
      <c r="A11" s="5" t="s">
        <v>970</v>
      </c>
      <c r="B11" s="5" t="s">
        <v>971</v>
      </c>
      <c r="C11" s="5" t="s">
        <v>972</v>
      </c>
      <c r="D11" s="5" t="s">
        <v>943</v>
      </c>
      <c r="E11" s="5" t="s">
        <v>9</v>
      </c>
      <c r="F11" s="5" t="s">
        <v>944</v>
      </c>
      <c r="G11" s="5" t="s">
        <v>945</v>
      </c>
      <c r="H11" s="5" t="s">
        <v>874</v>
      </c>
      <c r="I11" s="6">
        <v>46198</v>
      </c>
    </row>
    <row r="12" spans="1:9" x14ac:dyDescent="0.3">
      <c r="A12" s="5" t="s">
        <v>973</v>
      </c>
      <c r="B12" s="5" t="s">
        <v>974</v>
      </c>
      <c r="C12" s="5" t="s">
        <v>975</v>
      </c>
      <c r="D12" s="5" t="s">
        <v>943</v>
      </c>
      <c r="E12" s="5" t="s">
        <v>9</v>
      </c>
      <c r="F12" s="5" t="s">
        <v>944</v>
      </c>
      <c r="G12" s="5" t="s">
        <v>945</v>
      </c>
      <c r="H12" s="5" t="s">
        <v>874</v>
      </c>
      <c r="I12" s="6">
        <v>46195</v>
      </c>
    </row>
    <row r="13" spans="1:9" x14ac:dyDescent="0.3">
      <c r="A13" s="5" t="s">
        <v>976</v>
      </c>
      <c r="B13" s="5" t="s">
        <v>977</v>
      </c>
      <c r="C13" s="5" t="s">
        <v>978</v>
      </c>
      <c r="D13" s="5" t="s">
        <v>943</v>
      </c>
      <c r="E13" s="5" t="s">
        <v>9</v>
      </c>
      <c r="F13" s="5" t="s">
        <v>944</v>
      </c>
      <c r="G13" s="5" t="s">
        <v>945</v>
      </c>
      <c r="H13" s="5" t="s">
        <v>874</v>
      </c>
      <c r="I13" s="6">
        <v>46198</v>
      </c>
    </row>
    <row r="14" spans="1:9" x14ac:dyDescent="0.3">
      <c r="A14" s="5" t="s">
        <v>979</v>
      </c>
      <c r="B14" s="5" t="s">
        <v>980</v>
      </c>
      <c r="C14" s="5" t="s">
        <v>981</v>
      </c>
      <c r="D14" s="5" t="s">
        <v>982</v>
      </c>
      <c r="E14" s="5" t="s">
        <v>983</v>
      </c>
      <c r="F14" s="5" t="s">
        <v>984</v>
      </c>
      <c r="G14" s="5" t="s">
        <v>496</v>
      </c>
      <c r="H14" s="5" t="s">
        <v>874</v>
      </c>
      <c r="I14" s="6">
        <v>46198</v>
      </c>
    </row>
    <row r="15" spans="1:9" x14ac:dyDescent="0.3">
      <c r="A15" s="5" t="s">
        <v>985</v>
      </c>
      <c r="B15" s="5" t="s">
        <v>986</v>
      </c>
      <c r="C15" s="5" t="s">
        <v>987</v>
      </c>
      <c r="D15" s="5" t="s">
        <v>982</v>
      </c>
      <c r="E15" s="5" t="s">
        <v>983</v>
      </c>
      <c r="F15" s="5" t="s">
        <v>984</v>
      </c>
      <c r="G15" s="5" t="s">
        <v>496</v>
      </c>
      <c r="H15" s="5" t="s">
        <v>874</v>
      </c>
      <c r="I15" s="6">
        <v>46198</v>
      </c>
    </row>
    <row r="16" spans="1:9" x14ac:dyDescent="0.3">
      <c r="A16" s="5" t="s">
        <v>988</v>
      </c>
      <c r="B16" s="5" t="s">
        <v>989</v>
      </c>
      <c r="C16" s="5" t="s">
        <v>990</v>
      </c>
      <c r="D16" s="5" t="s">
        <v>982</v>
      </c>
      <c r="E16" s="5" t="s">
        <v>983</v>
      </c>
      <c r="F16" s="5" t="s">
        <v>984</v>
      </c>
      <c r="G16" s="5" t="s">
        <v>496</v>
      </c>
      <c r="H16" s="5" t="s">
        <v>874</v>
      </c>
      <c r="I16" s="6">
        <v>46197</v>
      </c>
    </row>
    <row r="17" spans="1:9" x14ac:dyDescent="0.3">
      <c r="A17" s="5" t="s">
        <v>991</v>
      </c>
      <c r="B17" s="5" t="s">
        <v>992</v>
      </c>
      <c r="C17" s="5" t="s">
        <v>993</v>
      </c>
      <c r="D17" s="5" t="s">
        <v>982</v>
      </c>
      <c r="E17" s="5" t="s">
        <v>983</v>
      </c>
      <c r="F17" s="5" t="s">
        <v>984</v>
      </c>
      <c r="G17" s="5" t="s">
        <v>496</v>
      </c>
      <c r="H17" s="5" t="s">
        <v>874</v>
      </c>
      <c r="I17" s="6">
        <v>46198</v>
      </c>
    </row>
    <row r="18" spans="1:9" x14ac:dyDescent="0.3">
      <c r="A18" s="5" t="s">
        <v>994</v>
      </c>
      <c r="B18" s="5" t="s">
        <v>995</v>
      </c>
      <c r="C18" s="5" t="s">
        <v>996</v>
      </c>
      <c r="D18" s="5" t="s">
        <v>982</v>
      </c>
      <c r="E18" s="5" t="s">
        <v>983</v>
      </c>
      <c r="F18" s="5" t="s">
        <v>984</v>
      </c>
      <c r="G18" s="5" t="s">
        <v>496</v>
      </c>
      <c r="H18" s="5" t="s">
        <v>874</v>
      </c>
      <c r="I18" s="6">
        <v>46196</v>
      </c>
    </row>
    <row r="19" spans="1:9" x14ac:dyDescent="0.3">
      <c r="A19" s="5" t="s">
        <v>997</v>
      </c>
      <c r="B19" s="5" t="s">
        <v>998</v>
      </c>
      <c r="C19" s="5" t="s">
        <v>999</v>
      </c>
      <c r="D19" s="5" t="s">
        <v>982</v>
      </c>
      <c r="E19" s="5" t="s">
        <v>983</v>
      </c>
      <c r="F19" s="5" t="s">
        <v>984</v>
      </c>
      <c r="G19" s="5" t="s">
        <v>496</v>
      </c>
      <c r="H19" s="5" t="s">
        <v>874</v>
      </c>
      <c r="I19" s="6">
        <v>46198</v>
      </c>
    </row>
    <row r="20" spans="1:9" x14ac:dyDescent="0.3">
      <c r="A20" s="5" t="s">
        <v>1000</v>
      </c>
      <c r="B20" s="5" t="s">
        <v>1001</v>
      </c>
      <c r="C20" s="5" t="s">
        <v>1002</v>
      </c>
      <c r="D20" s="5" t="s">
        <v>982</v>
      </c>
      <c r="E20" s="5" t="s">
        <v>983</v>
      </c>
      <c r="F20" s="5" t="s">
        <v>984</v>
      </c>
      <c r="G20" s="5" t="s">
        <v>496</v>
      </c>
      <c r="H20" s="5" t="s">
        <v>874</v>
      </c>
      <c r="I20" s="6">
        <v>46197</v>
      </c>
    </row>
    <row r="21" spans="1:9" x14ac:dyDescent="0.3">
      <c r="A21" s="5" t="s">
        <v>1003</v>
      </c>
      <c r="B21" s="5" t="s">
        <v>1004</v>
      </c>
      <c r="C21" s="5" t="s">
        <v>1005</v>
      </c>
      <c r="D21" s="5" t="s">
        <v>982</v>
      </c>
      <c r="E21" s="5" t="s">
        <v>983</v>
      </c>
      <c r="F21" s="5" t="s">
        <v>984</v>
      </c>
      <c r="G21" s="5" t="s">
        <v>496</v>
      </c>
      <c r="H21" s="5" t="s">
        <v>874</v>
      </c>
      <c r="I21" s="6">
        <v>46198</v>
      </c>
    </row>
    <row r="22" spans="1:9" x14ac:dyDescent="0.3">
      <c r="A22" s="5" t="s">
        <v>1006</v>
      </c>
      <c r="B22" s="5" t="s">
        <v>1007</v>
      </c>
      <c r="C22" s="5" t="s">
        <v>1008</v>
      </c>
      <c r="D22" s="5" t="s">
        <v>982</v>
      </c>
      <c r="E22" s="5" t="s">
        <v>983</v>
      </c>
      <c r="F22" s="5" t="s">
        <v>984</v>
      </c>
      <c r="G22" s="5" t="s">
        <v>496</v>
      </c>
      <c r="H22" s="5" t="s">
        <v>874</v>
      </c>
      <c r="I22" s="6">
        <v>46198</v>
      </c>
    </row>
    <row r="23" spans="1:9" x14ac:dyDescent="0.3">
      <c r="A23" s="5" t="s">
        <v>1009</v>
      </c>
      <c r="B23" s="5" t="s">
        <v>1010</v>
      </c>
      <c r="C23" s="5" t="s">
        <v>1011</v>
      </c>
      <c r="D23" s="5" t="s">
        <v>982</v>
      </c>
      <c r="E23" s="5" t="s">
        <v>983</v>
      </c>
      <c r="F23" s="5" t="s">
        <v>984</v>
      </c>
      <c r="G23" s="5" t="s">
        <v>496</v>
      </c>
      <c r="H23" s="5" t="s">
        <v>874</v>
      </c>
      <c r="I23" s="6">
        <v>46195</v>
      </c>
    </row>
    <row r="24" spans="1:9" x14ac:dyDescent="0.3">
      <c r="A24" s="5" t="s">
        <v>1012</v>
      </c>
      <c r="B24" s="5" t="s">
        <v>1013</v>
      </c>
      <c r="C24" s="5" t="s">
        <v>1014</v>
      </c>
      <c r="D24" s="5" t="s">
        <v>982</v>
      </c>
      <c r="E24" s="5" t="s">
        <v>983</v>
      </c>
      <c r="F24" s="5" t="s">
        <v>984</v>
      </c>
      <c r="G24" s="5" t="s">
        <v>496</v>
      </c>
      <c r="H24" s="5" t="s">
        <v>874</v>
      </c>
      <c r="I24" s="6">
        <v>46198</v>
      </c>
    </row>
    <row r="25" spans="1:9" x14ac:dyDescent="0.3">
      <c r="A25" s="5" t="s">
        <v>1015</v>
      </c>
      <c r="B25" s="5" t="s">
        <v>1016</v>
      </c>
      <c r="C25" s="5" t="s">
        <v>1017</v>
      </c>
      <c r="D25" s="5" t="s">
        <v>982</v>
      </c>
      <c r="E25" s="5" t="s">
        <v>983</v>
      </c>
      <c r="F25" s="5" t="s">
        <v>984</v>
      </c>
      <c r="G25" s="5" t="s">
        <v>496</v>
      </c>
      <c r="H25" s="5" t="s">
        <v>874</v>
      </c>
      <c r="I25" s="6">
        <v>46197</v>
      </c>
    </row>
    <row r="26" spans="1:9" x14ac:dyDescent="0.3">
      <c r="A26" s="5" t="s">
        <v>1018</v>
      </c>
      <c r="B26" s="5" t="s">
        <v>643</v>
      </c>
      <c r="C26" s="5" t="s">
        <v>1019</v>
      </c>
      <c r="D26" s="5" t="s">
        <v>1020</v>
      </c>
      <c r="E26" s="5" t="s">
        <v>1021</v>
      </c>
      <c r="F26" s="5" t="s">
        <v>1022</v>
      </c>
      <c r="G26" s="5" t="s">
        <v>496</v>
      </c>
      <c r="H26" s="5" t="s">
        <v>874</v>
      </c>
      <c r="I26" s="6">
        <v>46198</v>
      </c>
    </row>
    <row r="27" spans="1:9" x14ac:dyDescent="0.3">
      <c r="A27" s="5" t="s">
        <v>1023</v>
      </c>
      <c r="B27" s="5" t="s">
        <v>1024</v>
      </c>
      <c r="C27" s="5" t="s">
        <v>1025</v>
      </c>
      <c r="D27" s="5" t="s">
        <v>1020</v>
      </c>
      <c r="E27" s="5" t="s">
        <v>1021</v>
      </c>
      <c r="F27" s="5" t="s">
        <v>1022</v>
      </c>
      <c r="G27" s="5" t="s">
        <v>496</v>
      </c>
      <c r="H27" s="5" t="s">
        <v>874</v>
      </c>
      <c r="I27" s="6">
        <v>46198</v>
      </c>
    </row>
    <row r="28" spans="1:9" x14ac:dyDescent="0.3">
      <c r="A28" s="5" t="s">
        <v>1026</v>
      </c>
      <c r="B28" s="5" t="s">
        <v>1027</v>
      </c>
      <c r="C28" s="5" t="s">
        <v>1028</v>
      </c>
      <c r="D28" s="5" t="s">
        <v>1020</v>
      </c>
      <c r="E28" s="5" t="s">
        <v>1021</v>
      </c>
      <c r="F28" s="5" t="s">
        <v>1022</v>
      </c>
      <c r="G28" s="5" t="s">
        <v>496</v>
      </c>
      <c r="H28" s="5" t="s">
        <v>874</v>
      </c>
      <c r="I28" s="6">
        <v>46197</v>
      </c>
    </row>
    <row r="29" spans="1:9" x14ac:dyDescent="0.3">
      <c r="A29" s="5" t="s">
        <v>1029</v>
      </c>
      <c r="B29" s="5" t="s">
        <v>1030</v>
      </c>
      <c r="C29" s="5" t="s">
        <v>1031</v>
      </c>
      <c r="D29" s="5" t="s">
        <v>1020</v>
      </c>
      <c r="E29" s="5" t="s">
        <v>1021</v>
      </c>
      <c r="F29" s="5" t="s">
        <v>1022</v>
      </c>
      <c r="G29" s="5" t="s">
        <v>496</v>
      </c>
      <c r="H29" s="5" t="s">
        <v>874</v>
      </c>
      <c r="I29" s="6">
        <v>46198</v>
      </c>
    </row>
    <row r="30" spans="1:9" x14ac:dyDescent="0.3">
      <c r="A30" s="5" t="s">
        <v>1032</v>
      </c>
      <c r="B30" s="5" t="s">
        <v>1033</v>
      </c>
      <c r="C30" s="5" t="s">
        <v>1034</v>
      </c>
      <c r="D30" s="5" t="s">
        <v>1020</v>
      </c>
      <c r="E30" s="5" t="s">
        <v>1021</v>
      </c>
      <c r="F30" s="5" t="s">
        <v>1022</v>
      </c>
      <c r="G30" s="5" t="s">
        <v>496</v>
      </c>
      <c r="H30" s="5" t="s">
        <v>874</v>
      </c>
      <c r="I30" s="6">
        <v>46196</v>
      </c>
    </row>
    <row r="31" spans="1:9" x14ac:dyDescent="0.3">
      <c r="A31" s="5" t="s">
        <v>1035</v>
      </c>
      <c r="B31" s="5" t="s">
        <v>1036</v>
      </c>
      <c r="C31" s="5" t="s">
        <v>1037</v>
      </c>
      <c r="D31" s="5" t="s">
        <v>1020</v>
      </c>
      <c r="E31" s="5" t="s">
        <v>1021</v>
      </c>
      <c r="F31" s="5" t="s">
        <v>1022</v>
      </c>
      <c r="G31" s="5" t="s">
        <v>496</v>
      </c>
      <c r="H31" s="5" t="s">
        <v>874</v>
      </c>
      <c r="I31" s="6">
        <v>46198</v>
      </c>
    </row>
    <row r="32" spans="1:9" x14ac:dyDescent="0.3">
      <c r="A32" s="5" t="s">
        <v>1038</v>
      </c>
      <c r="B32" s="5" t="s">
        <v>1039</v>
      </c>
      <c r="C32" s="5" t="s">
        <v>1040</v>
      </c>
      <c r="D32" s="5" t="s">
        <v>1020</v>
      </c>
      <c r="E32" s="5" t="s">
        <v>1021</v>
      </c>
      <c r="F32" s="5" t="s">
        <v>1022</v>
      </c>
      <c r="G32" s="5" t="s">
        <v>496</v>
      </c>
      <c r="H32" s="5" t="s">
        <v>874</v>
      </c>
      <c r="I32" s="6">
        <v>46197</v>
      </c>
    </row>
    <row r="33" spans="1:9" x14ac:dyDescent="0.3">
      <c r="A33" s="5" t="s">
        <v>1041</v>
      </c>
      <c r="B33" s="5" t="s">
        <v>1042</v>
      </c>
      <c r="C33" s="5" t="s">
        <v>1043</v>
      </c>
      <c r="D33" s="5" t="s">
        <v>1020</v>
      </c>
      <c r="E33" s="5" t="s">
        <v>1021</v>
      </c>
      <c r="F33" s="5" t="s">
        <v>1022</v>
      </c>
      <c r="G33" s="5" t="s">
        <v>496</v>
      </c>
      <c r="H33" s="5" t="s">
        <v>874</v>
      </c>
      <c r="I33" s="6">
        <v>46198</v>
      </c>
    </row>
    <row r="34" spans="1:9" x14ac:dyDescent="0.3">
      <c r="A34" s="5" t="s">
        <v>1044</v>
      </c>
      <c r="B34" s="5" t="s">
        <v>1045</v>
      </c>
      <c r="C34" s="5" t="s">
        <v>1046</v>
      </c>
      <c r="D34" s="5" t="s">
        <v>1020</v>
      </c>
      <c r="E34" s="5" t="s">
        <v>1021</v>
      </c>
      <c r="F34" s="5" t="s">
        <v>1022</v>
      </c>
      <c r="G34" s="5" t="s">
        <v>496</v>
      </c>
      <c r="H34" s="5" t="s">
        <v>874</v>
      </c>
      <c r="I34" s="6">
        <v>46198</v>
      </c>
    </row>
    <row r="35" spans="1:9" x14ac:dyDescent="0.3">
      <c r="A35" s="5" t="s">
        <v>1047</v>
      </c>
      <c r="B35" s="5" t="s">
        <v>1048</v>
      </c>
      <c r="C35" s="5" t="s">
        <v>1049</v>
      </c>
      <c r="D35" s="5" t="s">
        <v>1020</v>
      </c>
      <c r="E35" s="5" t="s">
        <v>1021</v>
      </c>
      <c r="F35" s="5" t="s">
        <v>1022</v>
      </c>
      <c r="G35" s="5" t="s">
        <v>496</v>
      </c>
      <c r="H35" s="5" t="s">
        <v>874</v>
      </c>
      <c r="I35" s="6">
        <v>46195</v>
      </c>
    </row>
    <row r="36" spans="1:9" x14ac:dyDescent="0.3">
      <c r="A36" s="5" t="s">
        <v>1050</v>
      </c>
      <c r="B36" s="5" t="s">
        <v>1051</v>
      </c>
      <c r="C36" s="5" t="s">
        <v>1052</v>
      </c>
      <c r="D36" s="5" t="s">
        <v>1020</v>
      </c>
      <c r="E36" s="5" t="s">
        <v>1021</v>
      </c>
      <c r="F36" s="5" t="s">
        <v>1022</v>
      </c>
      <c r="G36" s="5" t="s">
        <v>496</v>
      </c>
      <c r="H36" s="5" t="s">
        <v>874</v>
      </c>
      <c r="I36" s="6">
        <v>46198</v>
      </c>
    </row>
    <row r="37" spans="1:9" x14ac:dyDescent="0.3">
      <c r="A37" s="5" t="s">
        <v>1053</v>
      </c>
      <c r="B37" s="5" t="s">
        <v>1054</v>
      </c>
      <c r="C37" s="5" t="s">
        <v>1055</v>
      </c>
      <c r="D37" s="5" t="s">
        <v>1020</v>
      </c>
      <c r="E37" s="5" t="s">
        <v>1021</v>
      </c>
      <c r="F37" s="5" t="s">
        <v>1022</v>
      </c>
      <c r="G37" s="5" t="s">
        <v>496</v>
      </c>
      <c r="H37" s="5" t="s">
        <v>874</v>
      </c>
      <c r="I37" s="6">
        <v>46197</v>
      </c>
    </row>
    <row r="38" spans="1:9" x14ac:dyDescent="0.3">
      <c r="A38" s="5" t="s">
        <v>1056</v>
      </c>
      <c r="B38" s="5" t="s">
        <v>870</v>
      </c>
      <c r="C38" s="5" t="s">
        <v>871</v>
      </c>
      <c r="D38" s="5" t="s">
        <v>1057</v>
      </c>
      <c r="E38" s="5" t="s">
        <v>9</v>
      </c>
      <c r="F38" s="5" t="s">
        <v>1058</v>
      </c>
      <c r="G38" s="5" t="s">
        <v>945</v>
      </c>
      <c r="H38" s="5" t="s">
        <v>874</v>
      </c>
      <c r="I38" s="6">
        <v>46198</v>
      </c>
    </row>
    <row r="39" spans="1:9" x14ac:dyDescent="0.3">
      <c r="A39" s="5" t="s">
        <v>1059</v>
      </c>
      <c r="B39" s="5" t="s">
        <v>877</v>
      </c>
      <c r="C39" s="5" t="s">
        <v>878</v>
      </c>
      <c r="D39" s="5" t="s">
        <v>1057</v>
      </c>
      <c r="E39" s="5" t="s">
        <v>9</v>
      </c>
      <c r="F39" s="5" t="s">
        <v>1058</v>
      </c>
      <c r="G39" s="5" t="s">
        <v>945</v>
      </c>
      <c r="H39" s="5" t="s">
        <v>874</v>
      </c>
      <c r="I39" s="6">
        <v>46198</v>
      </c>
    </row>
    <row r="40" spans="1:9" x14ac:dyDescent="0.3">
      <c r="A40" s="5" t="s">
        <v>1060</v>
      </c>
      <c r="B40" s="5" t="s">
        <v>882</v>
      </c>
      <c r="C40" s="5" t="s">
        <v>883</v>
      </c>
      <c r="D40" s="5" t="s">
        <v>1057</v>
      </c>
      <c r="E40" s="5" t="s">
        <v>9</v>
      </c>
      <c r="F40" s="5" t="s">
        <v>1058</v>
      </c>
      <c r="G40" s="5" t="s">
        <v>945</v>
      </c>
      <c r="H40" s="5" t="s">
        <v>874</v>
      </c>
      <c r="I40" s="6">
        <v>46197</v>
      </c>
    </row>
    <row r="41" spans="1:9" x14ac:dyDescent="0.3">
      <c r="A41" s="5" t="s">
        <v>1061</v>
      </c>
      <c r="B41" s="5" t="s">
        <v>888</v>
      </c>
      <c r="C41" s="5" t="s">
        <v>889</v>
      </c>
      <c r="D41" s="5" t="s">
        <v>1057</v>
      </c>
      <c r="E41" s="5" t="s">
        <v>9</v>
      </c>
      <c r="F41" s="5" t="s">
        <v>1058</v>
      </c>
      <c r="G41" s="5" t="s">
        <v>945</v>
      </c>
      <c r="H41" s="5" t="s">
        <v>874</v>
      </c>
      <c r="I41" s="6">
        <v>46198</v>
      </c>
    </row>
    <row r="42" spans="1:9" x14ac:dyDescent="0.3">
      <c r="A42" s="5" t="s">
        <v>1062</v>
      </c>
      <c r="B42" s="5" t="s">
        <v>893</v>
      </c>
      <c r="C42" s="5" t="s">
        <v>894</v>
      </c>
      <c r="D42" s="5" t="s">
        <v>1057</v>
      </c>
      <c r="E42" s="5" t="s">
        <v>9</v>
      </c>
      <c r="F42" s="5" t="s">
        <v>1058</v>
      </c>
      <c r="G42" s="5" t="s">
        <v>945</v>
      </c>
      <c r="H42" s="5" t="s">
        <v>874</v>
      </c>
      <c r="I42" s="6">
        <v>46196</v>
      </c>
    </row>
    <row r="43" spans="1:9" x14ac:dyDescent="0.3">
      <c r="A43" s="5" t="s">
        <v>1063</v>
      </c>
      <c r="B43" s="5" t="s">
        <v>899</v>
      </c>
      <c r="C43" s="5" t="s">
        <v>900</v>
      </c>
      <c r="D43" s="5" t="s">
        <v>1057</v>
      </c>
      <c r="E43" s="5" t="s">
        <v>9</v>
      </c>
      <c r="F43" s="5" t="s">
        <v>1058</v>
      </c>
      <c r="G43" s="5" t="s">
        <v>945</v>
      </c>
      <c r="H43" s="5" t="s">
        <v>874</v>
      </c>
      <c r="I43" s="6">
        <v>46198</v>
      </c>
    </row>
    <row r="44" spans="1:9" x14ac:dyDescent="0.3">
      <c r="A44" s="5" t="s">
        <v>1064</v>
      </c>
      <c r="B44" s="5" t="s">
        <v>904</v>
      </c>
      <c r="C44" s="5" t="s">
        <v>905</v>
      </c>
      <c r="D44" s="5" t="s">
        <v>1057</v>
      </c>
      <c r="E44" s="5" t="s">
        <v>9</v>
      </c>
      <c r="F44" s="5" t="s">
        <v>1058</v>
      </c>
      <c r="G44" s="5" t="s">
        <v>945</v>
      </c>
      <c r="H44" s="5" t="s">
        <v>874</v>
      </c>
      <c r="I44" s="6">
        <v>46197</v>
      </c>
    </row>
    <row r="45" spans="1:9" x14ac:dyDescent="0.3">
      <c r="A45" s="5" t="s">
        <v>1065</v>
      </c>
      <c r="B45" s="5" t="s">
        <v>909</v>
      </c>
      <c r="C45" s="5" t="s">
        <v>910</v>
      </c>
      <c r="D45" s="5" t="s">
        <v>1057</v>
      </c>
      <c r="E45" s="5" t="s">
        <v>9</v>
      </c>
      <c r="F45" s="5" t="s">
        <v>1058</v>
      </c>
      <c r="G45" s="5" t="s">
        <v>945</v>
      </c>
      <c r="H45" s="5" t="s">
        <v>874</v>
      </c>
      <c r="I45" s="6">
        <v>46198</v>
      </c>
    </row>
    <row r="46" spans="1:9" x14ac:dyDescent="0.3">
      <c r="A46" s="5" t="s">
        <v>1066</v>
      </c>
      <c r="B46" s="5" t="s">
        <v>914</v>
      </c>
      <c r="C46" s="5" t="s">
        <v>915</v>
      </c>
      <c r="D46" s="5" t="s">
        <v>1057</v>
      </c>
      <c r="E46" s="5" t="s">
        <v>9</v>
      </c>
      <c r="F46" s="5" t="s">
        <v>1058</v>
      </c>
      <c r="G46" s="5" t="s">
        <v>945</v>
      </c>
      <c r="H46" s="5" t="s">
        <v>874</v>
      </c>
      <c r="I46" s="6">
        <v>46198</v>
      </c>
    </row>
    <row r="47" spans="1:9" x14ac:dyDescent="0.3">
      <c r="A47" s="5" t="s">
        <v>1067</v>
      </c>
      <c r="B47" s="5" t="s">
        <v>920</v>
      </c>
      <c r="C47" s="5" t="s">
        <v>921</v>
      </c>
      <c r="D47" s="5" t="s">
        <v>1057</v>
      </c>
      <c r="E47" s="5" t="s">
        <v>9</v>
      </c>
      <c r="F47" s="5" t="s">
        <v>1058</v>
      </c>
      <c r="G47" s="5" t="s">
        <v>945</v>
      </c>
      <c r="H47" s="5" t="s">
        <v>874</v>
      </c>
      <c r="I47" s="6">
        <v>46195</v>
      </c>
    </row>
    <row r="48" spans="1:9" x14ac:dyDescent="0.3">
      <c r="A48" s="5" t="s">
        <v>1068</v>
      </c>
      <c r="B48" s="5" t="s">
        <v>925</v>
      </c>
      <c r="C48" s="5" t="s">
        <v>926</v>
      </c>
      <c r="D48" s="5" t="s">
        <v>1057</v>
      </c>
      <c r="E48" s="5" t="s">
        <v>9</v>
      </c>
      <c r="F48" s="5" t="s">
        <v>1058</v>
      </c>
      <c r="G48" s="5" t="s">
        <v>945</v>
      </c>
      <c r="H48" s="5" t="s">
        <v>874</v>
      </c>
      <c r="I48" s="6">
        <v>46198</v>
      </c>
    </row>
    <row r="49" spans="1:9" x14ac:dyDescent="0.3">
      <c r="A49" s="5" t="s">
        <v>1069</v>
      </c>
      <c r="B49" s="5" t="s">
        <v>930</v>
      </c>
      <c r="C49" s="5" t="s">
        <v>931</v>
      </c>
      <c r="D49" s="5" t="s">
        <v>1057</v>
      </c>
      <c r="E49" s="5" t="s">
        <v>9</v>
      </c>
      <c r="F49" s="5" t="s">
        <v>1058</v>
      </c>
      <c r="G49" s="5" t="s">
        <v>945</v>
      </c>
      <c r="H49" s="5" t="s">
        <v>874</v>
      </c>
      <c r="I49" s="6">
        <v>46197</v>
      </c>
    </row>
    <row r="50" spans="1:9" x14ac:dyDescent="0.3">
      <c r="A50" s="5" t="s">
        <v>1070</v>
      </c>
      <c r="B50" s="5" t="s">
        <v>1071</v>
      </c>
      <c r="C50" s="5" t="s">
        <v>1072</v>
      </c>
      <c r="D50" s="5" t="s">
        <v>1073</v>
      </c>
      <c r="E50" s="5" t="s">
        <v>1074</v>
      </c>
      <c r="F50" s="5" t="s">
        <v>1075</v>
      </c>
      <c r="G50" s="5" t="s">
        <v>945</v>
      </c>
      <c r="H50" s="5" t="s">
        <v>874</v>
      </c>
      <c r="I50" s="6">
        <v>46198</v>
      </c>
    </row>
    <row r="51" spans="1:9" x14ac:dyDescent="0.3">
      <c r="A51" s="5" t="s">
        <v>1076</v>
      </c>
      <c r="B51" s="5" t="s">
        <v>1077</v>
      </c>
      <c r="C51" s="5" t="s">
        <v>1078</v>
      </c>
      <c r="D51" s="5" t="s">
        <v>1073</v>
      </c>
      <c r="E51" s="5" t="s">
        <v>1074</v>
      </c>
      <c r="F51" s="5" t="s">
        <v>1075</v>
      </c>
      <c r="G51" s="5" t="s">
        <v>945</v>
      </c>
      <c r="H51" s="5" t="s">
        <v>874</v>
      </c>
      <c r="I51" s="6">
        <v>46198</v>
      </c>
    </row>
    <row r="52" spans="1:9" x14ac:dyDescent="0.3">
      <c r="A52" s="5" t="s">
        <v>1079</v>
      </c>
      <c r="B52" s="5" t="s">
        <v>1080</v>
      </c>
      <c r="C52" s="5" t="s">
        <v>1081</v>
      </c>
      <c r="D52" s="5" t="s">
        <v>1073</v>
      </c>
      <c r="E52" s="5" t="s">
        <v>1074</v>
      </c>
      <c r="F52" s="5" t="s">
        <v>1075</v>
      </c>
      <c r="G52" s="5" t="s">
        <v>945</v>
      </c>
      <c r="H52" s="5" t="s">
        <v>874</v>
      </c>
      <c r="I52" s="6">
        <v>46197</v>
      </c>
    </row>
    <row r="53" spans="1:9" x14ac:dyDescent="0.3">
      <c r="A53" s="5" t="s">
        <v>1082</v>
      </c>
      <c r="B53" s="5" t="s">
        <v>1083</v>
      </c>
      <c r="C53" s="5" t="s">
        <v>1084</v>
      </c>
      <c r="D53" s="5" t="s">
        <v>1073</v>
      </c>
      <c r="E53" s="5" t="s">
        <v>1074</v>
      </c>
      <c r="F53" s="5" t="s">
        <v>1075</v>
      </c>
      <c r="G53" s="5" t="s">
        <v>945</v>
      </c>
      <c r="H53" s="5" t="s">
        <v>874</v>
      </c>
      <c r="I53" s="6">
        <v>46198</v>
      </c>
    </row>
    <row r="54" spans="1:9" x14ac:dyDescent="0.3">
      <c r="A54" s="5" t="s">
        <v>1085</v>
      </c>
      <c r="B54" s="5" t="s">
        <v>1086</v>
      </c>
      <c r="C54" s="5" t="s">
        <v>1087</v>
      </c>
      <c r="D54" s="5" t="s">
        <v>1073</v>
      </c>
      <c r="E54" s="5" t="s">
        <v>1074</v>
      </c>
      <c r="F54" s="5" t="s">
        <v>1075</v>
      </c>
      <c r="G54" s="5" t="s">
        <v>945</v>
      </c>
      <c r="H54" s="5" t="s">
        <v>874</v>
      </c>
      <c r="I54" s="6">
        <v>46196</v>
      </c>
    </row>
    <row r="55" spans="1:9" x14ac:dyDescent="0.3">
      <c r="A55" s="5" t="s">
        <v>1088</v>
      </c>
      <c r="B55" s="5" t="s">
        <v>1089</v>
      </c>
      <c r="C55" s="5" t="s">
        <v>1090</v>
      </c>
      <c r="D55" s="5" t="s">
        <v>1073</v>
      </c>
      <c r="E55" s="5" t="s">
        <v>1074</v>
      </c>
      <c r="F55" s="5" t="s">
        <v>1075</v>
      </c>
      <c r="G55" s="5" t="s">
        <v>945</v>
      </c>
      <c r="H55" s="5" t="s">
        <v>874</v>
      </c>
      <c r="I55" s="6">
        <v>46198</v>
      </c>
    </row>
    <row r="56" spans="1:9" x14ac:dyDescent="0.3">
      <c r="A56" s="5" t="s">
        <v>1091</v>
      </c>
      <c r="B56" s="5" t="s">
        <v>1092</v>
      </c>
      <c r="C56" s="5" t="s">
        <v>1093</v>
      </c>
      <c r="D56" s="5" t="s">
        <v>1073</v>
      </c>
      <c r="E56" s="5" t="s">
        <v>1074</v>
      </c>
      <c r="F56" s="5" t="s">
        <v>1075</v>
      </c>
      <c r="G56" s="5" t="s">
        <v>945</v>
      </c>
      <c r="H56" s="5" t="s">
        <v>874</v>
      </c>
      <c r="I56" s="6">
        <v>46197</v>
      </c>
    </row>
    <row r="57" spans="1:9" x14ac:dyDescent="0.3">
      <c r="A57" s="5" t="s">
        <v>1094</v>
      </c>
      <c r="B57" s="5" t="s">
        <v>1095</v>
      </c>
      <c r="C57" s="5" t="s">
        <v>1096</v>
      </c>
      <c r="D57" s="5" t="s">
        <v>1073</v>
      </c>
      <c r="E57" s="5" t="s">
        <v>1074</v>
      </c>
      <c r="F57" s="5" t="s">
        <v>1075</v>
      </c>
      <c r="G57" s="5" t="s">
        <v>945</v>
      </c>
      <c r="H57" s="5" t="s">
        <v>874</v>
      </c>
      <c r="I57" s="6">
        <v>46198</v>
      </c>
    </row>
    <row r="58" spans="1:9" x14ac:dyDescent="0.3">
      <c r="A58" s="5" t="s">
        <v>1097</v>
      </c>
      <c r="B58" s="5" t="s">
        <v>1098</v>
      </c>
      <c r="C58" s="5" t="s">
        <v>1099</v>
      </c>
      <c r="D58" s="5" t="s">
        <v>1073</v>
      </c>
      <c r="E58" s="5" t="s">
        <v>1074</v>
      </c>
      <c r="F58" s="5" t="s">
        <v>1075</v>
      </c>
      <c r="G58" s="5" t="s">
        <v>945</v>
      </c>
      <c r="H58" s="5" t="s">
        <v>874</v>
      </c>
      <c r="I58" s="6">
        <v>46198</v>
      </c>
    </row>
    <row r="59" spans="1:9" x14ac:dyDescent="0.3">
      <c r="A59" s="5" t="s">
        <v>1100</v>
      </c>
      <c r="B59" s="5" t="s">
        <v>1101</v>
      </c>
      <c r="C59" s="5" t="s">
        <v>1102</v>
      </c>
      <c r="D59" s="5" t="s">
        <v>1073</v>
      </c>
      <c r="E59" s="5" t="s">
        <v>1074</v>
      </c>
      <c r="F59" s="5" t="s">
        <v>1075</v>
      </c>
      <c r="G59" s="5" t="s">
        <v>945</v>
      </c>
      <c r="H59" s="5" t="s">
        <v>874</v>
      </c>
      <c r="I59" s="6">
        <v>46195</v>
      </c>
    </row>
    <row r="60" spans="1:9" x14ac:dyDescent="0.3">
      <c r="A60" s="5" t="s">
        <v>1103</v>
      </c>
      <c r="B60" s="5" t="s">
        <v>1104</v>
      </c>
      <c r="C60" s="5" t="s">
        <v>1105</v>
      </c>
      <c r="D60" s="5" t="s">
        <v>1073</v>
      </c>
      <c r="E60" s="5" t="s">
        <v>1074</v>
      </c>
      <c r="F60" s="5" t="s">
        <v>1075</v>
      </c>
      <c r="G60" s="5" t="s">
        <v>945</v>
      </c>
      <c r="H60" s="5" t="s">
        <v>874</v>
      </c>
      <c r="I60" s="6">
        <v>46198</v>
      </c>
    </row>
    <row r="61" spans="1:9" x14ac:dyDescent="0.3">
      <c r="A61" s="5" t="s">
        <v>1106</v>
      </c>
      <c r="B61" s="5" t="s">
        <v>1107</v>
      </c>
      <c r="C61" s="5" t="s">
        <v>1108</v>
      </c>
      <c r="D61" s="5" t="s">
        <v>1073</v>
      </c>
      <c r="E61" s="5" t="s">
        <v>1074</v>
      </c>
      <c r="F61" s="5" t="s">
        <v>1075</v>
      </c>
      <c r="G61" s="5" t="s">
        <v>945</v>
      </c>
      <c r="H61" s="5" t="s">
        <v>874</v>
      </c>
      <c r="I61" s="6">
        <v>46197</v>
      </c>
    </row>
    <row r="62" spans="1:9" x14ac:dyDescent="0.3">
      <c r="A62" s="5" t="s">
        <v>1109</v>
      </c>
      <c r="B62" s="5" t="s">
        <v>1110</v>
      </c>
      <c r="C62" s="5" t="s">
        <v>1111</v>
      </c>
      <c r="D62" s="5" t="s">
        <v>1112</v>
      </c>
      <c r="E62" s="5" t="s">
        <v>1113</v>
      </c>
      <c r="F62" s="5" t="s">
        <v>1114</v>
      </c>
      <c r="G62" s="5" t="s">
        <v>945</v>
      </c>
      <c r="H62" s="5" t="s">
        <v>874</v>
      </c>
      <c r="I62" s="6">
        <v>46198</v>
      </c>
    </row>
    <row r="63" spans="1:9" x14ac:dyDescent="0.3">
      <c r="A63" s="5" t="s">
        <v>1115</v>
      </c>
      <c r="B63" s="5" t="s">
        <v>1116</v>
      </c>
      <c r="C63" s="5" t="s">
        <v>1117</v>
      </c>
      <c r="D63" s="5" t="s">
        <v>1112</v>
      </c>
      <c r="E63" s="5" t="s">
        <v>1113</v>
      </c>
      <c r="F63" s="5" t="s">
        <v>1114</v>
      </c>
      <c r="G63" s="5" t="s">
        <v>945</v>
      </c>
      <c r="H63" s="5" t="s">
        <v>874</v>
      </c>
      <c r="I63" s="6">
        <v>46198</v>
      </c>
    </row>
    <row r="64" spans="1:9" x14ac:dyDescent="0.3">
      <c r="A64" s="5" t="s">
        <v>1118</v>
      </c>
      <c r="B64" s="5" t="s">
        <v>1119</v>
      </c>
      <c r="C64" s="5" t="s">
        <v>1120</v>
      </c>
      <c r="D64" s="5" t="s">
        <v>1112</v>
      </c>
      <c r="E64" s="5" t="s">
        <v>1113</v>
      </c>
      <c r="F64" s="5" t="s">
        <v>1114</v>
      </c>
      <c r="G64" s="5" t="s">
        <v>945</v>
      </c>
      <c r="H64" s="5" t="s">
        <v>874</v>
      </c>
      <c r="I64" s="6">
        <v>46197</v>
      </c>
    </row>
    <row r="65" spans="1:9" x14ac:dyDescent="0.3">
      <c r="A65" s="5" t="s">
        <v>1121</v>
      </c>
      <c r="B65" s="5" t="s">
        <v>1122</v>
      </c>
      <c r="C65" s="5" t="s">
        <v>1123</v>
      </c>
      <c r="D65" s="5" t="s">
        <v>1112</v>
      </c>
      <c r="E65" s="5" t="s">
        <v>1113</v>
      </c>
      <c r="F65" s="5" t="s">
        <v>1114</v>
      </c>
      <c r="G65" s="5" t="s">
        <v>945</v>
      </c>
      <c r="H65" s="5" t="s">
        <v>874</v>
      </c>
      <c r="I65" s="6">
        <v>46198</v>
      </c>
    </row>
    <row r="66" spans="1:9" x14ac:dyDescent="0.3">
      <c r="A66" s="5" t="s">
        <v>1124</v>
      </c>
      <c r="B66" s="5" t="s">
        <v>1125</v>
      </c>
      <c r="C66" s="5" t="s">
        <v>1126</v>
      </c>
      <c r="D66" s="5" t="s">
        <v>1112</v>
      </c>
      <c r="E66" s="5" t="s">
        <v>1113</v>
      </c>
      <c r="F66" s="5" t="s">
        <v>1114</v>
      </c>
      <c r="G66" s="5" t="s">
        <v>945</v>
      </c>
      <c r="H66" s="5" t="s">
        <v>874</v>
      </c>
      <c r="I66" s="6">
        <v>46196</v>
      </c>
    </row>
    <row r="67" spans="1:9" x14ac:dyDescent="0.3">
      <c r="A67" s="5" t="s">
        <v>1127</v>
      </c>
      <c r="B67" s="5" t="s">
        <v>1128</v>
      </c>
      <c r="C67" s="5" t="s">
        <v>1129</v>
      </c>
      <c r="D67" s="5" t="s">
        <v>1112</v>
      </c>
      <c r="E67" s="5" t="s">
        <v>1113</v>
      </c>
      <c r="F67" s="5" t="s">
        <v>1114</v>
      </c>
      <c r="G67" s="5" t="s">
        <v>945</v>
      </c>
      <c r="H67" s="5" t="s">
        <v>874</v>
      </c>
      <c r="I67" s="6">
        <v>46198</v>
      </c>
    </row>
    <row r="68" spans="1:9" x14ac:dyDescent="0.3">
      <c r="A68" s="5" t="s">
        <v>1130</v>
      </c>
      <c r="B68" s="5" t="s">
        <v>1131</v>
      </c>
      <c r="C68" s="5" t="s">
        <v>1132</v>
      </c>
      <c r="D68" s="5" t="s">
        <v>1112</v>
      </c>
      <c r="E68" s="5" t="s">
        <v>1113</v>
      </c>
      <c r="F68" s="5" t="s">
        <v>1114</v>
      </c>
      <c r="G68" s="5" t="s">
        <v>945</v>
      </c>
      <c r="H68" s="5" t="s">
        <v>874</v>
      </c>
      <c r="I68" s="6">
        <v>46197</v>
      </c>
    </row>
    <row r="69" spans="1:9" x14ac:dyDescent="0.3">
      <c r="A69" s="5" t="s">
        <v>1133</v>
      </c>
      <c r="B69" s="5" t="s">
        <v>1134</v>
      </c>
      <c r="C69" s="5" t="s">
        <v>1135</v>
      </c>
      <c r="D69" s="5" t="s">
        <v>1112</v>
      </c>
      <c r="E69" s="5" t="s">
        <v>1113</v>
      </c>
      <c r="F69" s="5" t="s">
        <v>1114</v>
      </c>
      <c r="G69" s="5" t="s">
        <v>945</v>
      </c>
      <c r="H69" s="5" t="s">
        <v>874</v>
      </c>
      <c r="I69" s="6">
        <v>46198</v>
      </c>
    </row>
    <row r="70" spans="1:9" x14ac:dyDescent="0.3">
      <c r="A70" s="5" t="s">
        <v>1136</v>
      </c>
      <c r="B70" s="5" t="s">
        <v>1137</v>
      </c>
      <c r="C70" s="5" t="s">
        <v>1138</v>
      </c>
      <c r="D70" s="5" t="s">
        <v>1112</v>
      </c>
      <c r="E70" s="5" t="s">
        <v>1113</v>
      </c>
      <c r="F70" s="5" t="s">
        <v>1114</v>
      </c>
      <c r="G70" s="5" t="s">
        <v>945</v>
      </c>
      <c r="H70" s="5" t="s">
        <v>874</v>
      </c>
      <c r="I70" s="6">
        <v>46198</v>
      </c>
    </row>
    <row r="71" spans="1:9" x14ac:dyDescent="0.3">
      <c r="A71" s="5" t="s">
        <v>1139</v>
      </c>
      <c r="B71" s="5" t="s">
        <v>1140</v>
      </c>
      <c r="C71" s="5" t="s">
        <v>1141</v>
      </c>
      <c r="D71" s="5" t="s">
        <v>1112</v>
      </c>
      <c r="E71" s="5" t="s">
        <v>1113</v>
      </c>
      <c r="F71" s="5" t="s">
        <v>1114</v>
      </c>
      <c r="G71" s="5" t="s">
        <v>945</v>
      </c>
      <c r="H71" s="5" t="s">
        <v>874</v>
      </c>
      <c r="I71" s="6">
        <v>46195</v>
      </c>
    </row>
    <row r="72" spans="1:9" x14ac:dyDescent="0.3">
      <c r="A72" s="5" t="s">
        <v>1142</v>
      </c>
      <c r="B72" s="5" t="s">
        <v>1143</v>
      </c>
      <c r="C72" s="5" t="s">
        <v>1144</v>
      </c>
      <c r="D72" s="5" t="s">
        <v>1112</v>
      </c>
      <c r="E72" s="5" t="s">
        <v>1113</v>
      </c>
      <c r="F72" s="5" t="s">
        <v>1114</v>
      </c>
      <c r="G72" s="5" t="s">
        <v>945</v>
      </c>
      <c r="H72" s="5" t="s">
        <v>874</v>
      </c>
      <c r="I72" s="6">
        <v>46198</v>
      </c>
    </row>
    <row r="73" spans="1:9" x14ac:dyDescent="0.3">
      <c r="A73" s="5" t="s">
        <v>1145</v>
      </c>
      <c r="B73" s="5" t="s">
        <v>1146</v>
      </c>
      <c r="C73" s="5" t="s">
        <v>1147</v>
      </c>
      <c r="D73" s="5" t="s">
        <v>1112</v>
      </c>
      <c r="E73" s="5" t="s">
        <v>1113</v>
      </c>
      <c r="F73" s="5" t="s">
        <v>1114</v>
      </c>
      <c r="G73" s="5" t="s">
        <v>945</v>
      </c>
      <c r="H73" s="5" t="s">
        <v>874</v>
      </c>
      <c r="I73" s="6">
        <v>46197</v>
      </c>
    </row>
    <row r="74" spans="1:9" x14ac:dyDescent="0.3">
      <c r="A74" s="5" t="s">
        <v>1148</v>
      </c>
      <c r="B74" s="5" t="s">
        <v>623</v>
      </c>
      <c r="C74" s="5" t="s">
        <v>1149</v>
      </c>
      <c r="D74" s="5" t="s">
        <v>862</v>
      </c>
      <c r="E74" s="5" t="s">
        <v>5</v>
      </c>
      <c r="F74" s="5" t="s">
        <v>1150</v>
      </c>
      <c r="G74" s="5" t="s">
        <v>496</v>
      </c>
      <c r="H74" s="5" t="s">
        <v>874</v>
      </c>
      <c r="I74" s="6">
        <v>46198</v>
      </c>
    </row>
    <row r="75" spans="1:9" x14ac:dyDescent="0.3">
      <c r="A75" s="5" t="s">
        <v>1151</v>
      </c>
      <c r="B75" s="5" t="s">
        <v>625</v>
      </c>
      <c r="C75" s="5" t="s">
        <v>1152</v>
      </c>
      <c r="D75" s="5" t="s">
        <v>862</v>
      </c>
      <c r="E75" s="5" t="s">
        <v>5</v>
      </c>
      <c r="F75" s="5" t="s">
        <v>1150</v>
      </c>
      <c r="G75" s="5" t="s">
        <v>496</v>
      </c>
      <c r="H75" s="5" t="s">
        <v>874</v>
      </c>
      <c r="I75" s="6">
        <v>46197</v>
      </c>
    </row>
    <row r="76" spans="1:9" x14ac:dyDescent="0.3">
      <c r="A76" s="5" t="s">
        <v>1153</v>
      </c>
      <c r="B76" s="5" t="s">
        <v>651</v>
      </c>
      <c r="C76" s="5" t="s">
        <v>1154</v>
      </c>
      <c r="D76" s="5" t="s">
        <v>862</v>
      </c>
      <c r="E76" s="5" t="s">
        <v>6</v>
      </c>
      <c r="F76" s="5" t="s">
        <v>1155</v>
      </c>
      <c r="G76" s="5" t="s">
        <v>496</v>
      </c>
      <c r="H76" s="5" t="s">
        <v>874</v>
      </c>
      <c r="I76" s="6">
        <v>46198</v>
      </c>
    </row>
    <row r="77" spans="1:9" x14ac:dyDescent="0.3">
      <c r="A77" s="5" t="s">
        <v>1156</v>
      </c>
      <c r="B77" s="5" t="s">
        <v>671</v>
      </c>
      <c r="C77" s="5" t="s">
        <v>1157</v>
      </c>
      <c r="D77" s="5" t="s">
        <v>862</v>
      </c>
      <c r="E77" s="5" t="s">
        <v>7</v>
      </c>
      <c r="F77" s="5" t="s">
        <v>1158</v>
      </c>
      <c r="G77" s="5" t="s">
        <v>496</v>
      </c>
      <c r="H77" s="5" t="s">
        <v>874</v>
      </c>
      <c r="I77" s="6">
        <v>46196</v>
      </c>
    </row>
    <row r="78" spans="1:9" x14ac:dyDescent="0.3">
      <c r="A78" s="5" t="s">
        <v>1159</v>
      </c>
      <c r="B78" s="5" t="s">
        <v>691</v>
      </c>
      <c r="C78" s="5" t="s">
        <v>1160</v>
      </c>
      <c r="D78" s="5" t="s">
        <v>862</v>
      </c>
      <c r="E78" s="5" t="s">
        <v>8</v>
      </c>
      <c r="F78" s="5" t="s">
        <v>1161</v>
      </c>
      <c r="G78" s="5" t="s">
        <v>496</v>
      </c>
      <c r="H78" s="5" t="s">
        <v>874</v>
      </c>
      <c r="I78" s="6">
        <v>46198</v>
      </c>
    </row>
    <row r="79" spans="1:9" x14ac:dyDescent="0.3">
      <c r="A79" s="5" t="s">
        <v>1162</v>
      </c>
      <c r="B79" s="5" t="s">
        <v>710</v>
      </c>
      <c r="C79" s="5" t="s">
        <v>1163</v>
      </c>
      <c r="D79" s="5" t="s">
        <v>862</v>
      </c>
      <c r="E79" s="5" t="s">
        <v>9</v>
      </c>
      <c r="F79" s="5" t="s">
        <v>1058</v>
      </c>
      <c r="G79" s="5" t="s">
        <v>496</v>
      </c>
      <c r="H79" s="5" t="s">
        <v>874</v>
      </c>
      <c r="I79" s="6">
        <v>46197</v>
      </c>
    </row>
    <row r="80" spans="1:9" x14ac:dyDescent="0.3">
      <c r="A80" s="5" t="s">
        <v>1164</v>
      </c>
      <c r="B80" s="5" t="s">
        <v>730</v>
      </c>
      <c r="C80" s="5" t="s">
        <v>1165</v>
      </c>
      <c r="D80" s="5" t="s">
        <v>862</v>
      </c>
      <c r="E80" s="5" t="s">
        <v>10</v>
      </c>
      <c r="F80" s="5" t="s">
        <v>1166</v>
      </c>
      <c r="G80" s="5" t="s">
        <v>496</v>
      </c>
      <c r="H80" s="5" t="s">
        <v>874</v>
      </c>
      <c r="I80" s="6">
        <v>46198</v>
      </c>
    </row>
    <row r="81" spans="1:9" x14ac:dyDescent="0.3">
      <c r="A81" s="5" t="s">
        <v>1167</v>
      </c>
      <c r="B81" s="5" t="s">
        <v>749</v>
      </c>
      <c r="C81" s="5" t="s">
        <v>1168</v>
      </c>
      <c r="D81" s="5" t="s">
        <v>862</v>
      </c>
      <c r="E81" s="5" t="s">
        <v>11</v>
      </c>
      <c r="F81" s="5" t="s">
        <v>1169</v>
      </c>
      <c r="G81" s="5" t="s">
        <v>496</v>
      </c>
      <c r="H81" s="5" t="s">
        <v>874</v>
      </c>
      <c r="I81" s="6">
        <v>46198</v>
      </c>
    </row>
    <row r="82" spans="1:9" x14ac:dyDescent="0.3">
      <c r="A82" s="5" t="s">
        <v>1170</v>
      </c>
      <c r="B82" s="5" t="s">
        <v>769</v>
      </c>
      <c r="C82" s="5" t="s">
        <v>1171</v>
      </c>
      <c r="D82" s="5" t="s">
        <v>862</v>
      </c>
      <c r="E82" s="5" t="s">
        <v>12</v>
      </c>
      <c r="F82" s="5" t="s">
        <v>1172</v>
      </c>
      <c r="G82" s="5" t="s">
        <v>496</v>
      </c>
      <c r="H82" s="5" t="s">
        <v>874</v>
      </c>
      <c r="I82" s="6">
        <v>46195</v>
      </c>
    </row>
    <row r="83" spans="1:9" x14ac:dyDescent="0.3">
      <c r="A83" s="5" t="s">
        <v>1173</v>
      </c>
      <c r="B83" s="5" t="s">
        <v>624</v>
      </c>
      <c r="C83" s="5" t="s">
        <v>1174</v>
      </c>
      <c r="D83" s="5" t="s">
        <v>622</v>
      </c>
      <c r="E83" s="5" t="s">
        <v>5</v>
      </c>
      <c r="F83" s="5" t="s">
        <v>1175</v>
      </c>
      <c r="G83" s="5" t="s">
        <v>496</v>
      </c>
      <c r="H83" s="5" t="s">
        <v>874</v>
      </c>
      <c r="I83" s="6">
        <v>46198</v>
      </c>
    </row>
    <row r="84" spans="1:9" x14ac:dyDescent="0.3">
      <c r="A84" s="5" t="s">
        <v>1176</v>
      </c>
      <c r="B84" s="5" t="s">
        <v>652</v>
      </c>
      <c r="C84" s="5" t="s">
        <v>1177</v>
      </c>
      <c r="D84" s="5" t="s">
        <v>622</v>
      </c>
      <c r="E84" s="5" t="s">
        <v>6</v>
      </c>
      <c r="F84" s="5" t="s">
        <v>1175</v>
      </c>
      <c r="G84" s="5" t="s">
        <v>496</v>
      </c>
      <c r="H84" s="5" t="s">
        <v>874</v>
      </c>
      <c r="I84" s="6">
        <v>46197</v>
      </c>
    </row>
    <row r="85" spans="1:9" x14ac:dyDescent="0.3">
      <c r="A85" s="5" t="s">
        <v>1178</v>
      </c>
      <c r="B85" s="5" t="s">
        <v>672</v>
      </c>
      <c r="C85" s="5" t="s">
        <v>1179</v>
      </c>
      <c r="D85" s="5" t="s">
        <v>622</v>
      </c>
      <c r="E85" s="5" t="s">
        <v>7</v>
      </c>
      <c r="F85" s="5" t="s">
        <v>1175</v>
      </c>
      <c r="G85" s="5" t="s">
        <v>496</v>
      </c>
      <c r="H85" s="5" t="s">
        <v>874</v>
      </c>
      <c r="I85" s="6">
        <v>46198</v>
      </c>
    </row>
    <row r="86" spans="1:9" x14ac:dyDescent="0.3">
      <c r="A86" s="5" t="s">
        <v>1180</v>
      </c>
      <c r="B86" s="5" t="s">
        <v>692</v>
      </c>
      <c r="C86" s="5" t="s">
        <v>1181</v>
      </c>
      <c r="D86" s="5" t="s">
        <v>622</v>
      </c>
      <c r="E86" s="5" t="s">
        <v>8</v>
      </c>
      <c r="F86" s="5" t="s">
        <v>1175</v>
      </c>
      <c r="G86" s="5" t="s">
        <v>496</v>
      </c>
      <c r="H86" s="5" t="s">
        <v>874</v>
      </c>
      <c r="I86" s="6">
        <v>46196</v>
      </c>
    </row>
    <row r="87" spans="1:9" x14ac:dyDescent="0.3">
      <c r="A87" s="5" t="s">
        <v>1182</v>
      </c>
      <c r="B87" s="5" t="s">
        <v>711</v>
      </c>
      <c r="C87" s="5" t="s">
        <v>1183</v>
      </c>
      <c r="D87" s="5" t="s">
        <v>622</v>
      </c>
      <c r="E87" s="5" t="s">
        <v>9</v>
      </c>
      <c r="F87" s="5" t="s">
        <v>1175</v>
      </c>
      <c r="G87" s="5" t="s">
        <v>496</v>
      </c>
      <c r="H87" s="5" t="s">
        <v>874</v>
      </c>
      <c r="I87" s="6">
        <v>46198</v>
      </c>
    </row>
    <row r="88" spans="1:9" x14ac:dyDescent="0.3">
      <c r="A88" s="5" t="s">
        <v>1184</v>
      </c>
      <c r="B88" s="5" t="s">
        <v>731</v>
      </c>
      <c r="C88" s="5" t="s">
        <v>1185</v>
      </c>
      <c r="D88" s="5" t="s">
        <v>622</v>
      </c>
      <c r="E88" s="5" t="s">
        <v>10</v>
      </c>
      <c r="F88" s="5" t="s">
        <v>1175</v>
      </c>
      <c r="G88" s="5" t="s">
        <v>496</v>
      </c>
      <c r="H88" s="5" t="s">
        <v>874</v>
      </c>
      <c r="I88" s="6">
        <v>46197</v>
      </c>
    </row>
    <row r="89" spans="1:9" x14ac:dyDescent="0.3">
      <c r="A89" s="5" t="s">
        <v>1186</v>
      </c>
      <c r="B89" s="5" t="s">
        <v>1187</v>
      </c>
      <c r="C89" s="5" t="s">
        <v>1188</v>
      </c>
      <c r="D89" s="5" t="s">
        <v>1189</v>
      </c>
      <c r="E89" s="5" t="s">
        <v>1190</v>
      </c>
      <c r="F89" s="5" t="s">
        <v>1191</v>
      </c>
      <c r="G89" s="5" t="s">
        <v>1190</v>
      </c>
      <c r="H89" s="5" t="s">
        <v>874</v>
      </c>
      <c r="I89" s="6">
        <v>46198</v>
      </c>
    </row>
    <row r="90" spans="1:9" x14ac:dyDescent="0.3">
      <c r="A90" s="5" t="s">
        <v>1192</v>
      </c>
      <c r="B90" s="5" t="s">
        <v>1193</v>
      </c>
      <c r="C90" s="5" t="s">
        <v>1194</v>
      </c>
      <c r="D90" s="5" t="s">
        <v>1195</v>
      </c>
      <c r="E90" s="5" t="s">
        <v>1190</v>
      </c>
      <c r="F90" s="5" t="s">
        <v>1191</v>
      </c>
      <c r="G90" s="5" t="s">
        <v>1190</v>
      </c>
      <c r="H90" s="5" t="s">
        <v>874</v>
      </c>
      <c r="I90" s="6">
        <v>46198</v>
      </c>
    </row>
    <row r="91" spans="1:9" x14ac:dyDescent="0.3">
      <c r="A91" s="5" t="s">
        <v>1196</v>
      </c>
      <c r="B91" s="5" t="s">
        <v>1197</v>
      </c>
      <c r="C91" s="5" t="s">
        <v>1198</v>
      </c>
      <c r="D91" s="5" t="s">
        <v>1199</v>
      </c>
      <c r="E91" s="5" t="s">
        <v>1190</v>
      </c>
      <c r="F91" s="5" t="s">
        <v>1191</v>
      </c>
      <c r="G91" s="5" t="s">
        <v>1190</v>
      </c>
      <c r="H91" s="5" t="s">
        <v>874</v>
      </c>
      <c r="I91" s="6">
        <v>46195</v>
      </c>
    </row>
    <row r="92" spans="1:9" x14ac:dyDescent="0.3">
      <c r="A92" s="5" t="s">
        <v>1200</v>
      </c>
      <c r="B92" s="5" t="s">
        <v>1201</v>
      </c>
      <c r="C92" s="5" t="s">
        <v>1202</v>
      </c>
      <c r="D92" s="5" t="s">
        <v>1203</v>
      </c>
      <c r="E92" s="5" t="s">
        <v>9</v>
      </c>
      <c r="F92" s="5" t="s">
        <v>1189</v>
      </c>
      <c r="G92" s="5" t="s">
        <v>1190</v>
      </c>
      <c r="H92" s="5" t="s">
        <v>874</v>
      </c>
      <c r="I92" s="6">
        <v>46198</v>
      </c>
    </row>
    <row r="93" spans="1:9" x14ac:dyDescent="0.3">
      <c r="A93" s="5" t="s">
        <v>1204</v>
      </c>
      <c r="B93" s="5" t="s">
        <v>1205</v>
      </c>
      <c r="C93" s="5" t="s">
        <v>1206</v>
      </c>
      <c r="D93" s="5" t="s">
        <v>1075</v>
      </c>
      <c r="E93" s="5" t="s">
        <v>1074</v>
      </c>
      <c r="F93" s="5" t="s">
        <v>1207</v>
      </c>
      <c r="G93" s="5" t="s">
        <v>1190</v>
      </c>
      <c r="H93" s="5" t="s">
        <v>874</v>
      </c>
      <c r="I93" s="6">
        <v>46197</v>
      </c>
    </row>
    <row r="94" spans="1:9" x14ac:dyDescent="0.3">
      <c r="A94" s="5" t="s">
        <v>1208</v>
      </c>
      <c r="B94" s="5" t="s">
        <v>626</v>
      </c>
      <c r="C94" s="5" t="s">
        <v>1209</v>
      </c>
      <c r="D94" s="5" t="s">
        <v>1210</v>
      </c>
      <c r="E94" s="5" t="s">
        <v>9</v>
      </c>
      <c r="F94" s="5" t="s">
        <v>1211</v>
      </c>
      <c r="G94" s="5" t="s">
        <v>496</v>
      </c>
      <c r="H94" s="5" t="s">
        <v>874</v>
      </c>
      <c r="I94" s="6">
        <v>46198</v>
      </c>
    </row>
    <row r="95" spans="1:9" x14ac:dyDescent="0.3">
      <c r="A95" s="5" t="s">
        <v>1212</v>
      </c>
      <c r="B95" s="5" t="s">
        <v>628</v>
      </c>
      <c r="C95" s="5" t="s">
        <v>1213</v>
      </c>
      <c r="D95" s="5" t="s">
        <v>1210</v>
      </c>
      <c r="E95" s="5" t="s">
        <v>9</v>
      </c>
      <c r="F95" s="5" t="s">
        <v>1211</v>
      </c>
      <c r="G95" s="5" t="s">
        <v>496</v>
      </c>
      <c r="H95" s="5" t="s">
        <v>874</v>
      </c>
      <c r="I95" s="6">
        <v>46196</v>
      </c>
    </row>
    <row r="96" spans="1:9" x14ac:dyDescent="0.3">
      <c r="A96" s="5" t="s">
        <v>1214</v>
      </c>
      <c r="B96" s="5" t="s">
        <v>630</v>
      </c>
      <c r="C96" s="5" t="s">
        <v>1215</v>
      </c>
      <c r="D96" s="5" t="s">
        <v>1216</v>
      </c>
      <c r="E96" s="5" t="s">
        <v>9</v>
      </c>
      <c r="F96" s="5" t="s">
        <v>1217</v>
      </c>
      <c r="G96" s="5" t="s">
        <v>496</v>
      </c>
      <c r="H96" s="5" t="s">
        <v>874</v>
      </c>
      <c r="I96" s="6">
        <v>46198</v>
      </c>
    </row>
    <row r="97" spans="1:9" x14ac:dyDescent="0.3">
      <c r="A97" s="5" t="s">
        <v>1218</v>
      </c>
      <c r="B97" s="5" t="s">
        <v>634</v>
      </c>
      <c r="C97" s="5" t="s">
        <v>1219</v>
      </c>
      <c r="D97" s="5" t="s">
        <v>1220</v>
      </c>
      <c r="E97" s="5" t="s">
        <v>9</v>
      </c>
      <c r="F97" s="5" t="s">
        <v>1022</v>
      </c>
      <c r="G97" s="5" t="s">
        <v>496</v>
      </c>
      <c r="H97" s="5" t="s">
        <v>874</v>
      </c>
      <c r="I97" s="6">
        <v>46197</v>
      </c>
    </row>
    <row r="98" spans="1:9" x14ac:dyDescent="0.3">
      <c r="A98" s="5" t="s">
        <v>1221</v>
      </c>
      <c r="B98" s="5" t="s">
        <v>640</v>
      </c>
      <c r="C98" s="5" t="s">
        <v>1222</v>
      </c>
      <c r="D98" s="5" t="s">
        <v>1223</v>
      </c>
      <c r="E98" s="5" t="s">
        <v>9</v>
      </c>
      <c r="F98" s="5" t="s">
        <v>1217</v>
      </c>
      <c r="G98" s="5" t="s">
        <v>496</v>
      </c>
      <c r="H98" s="5" t="s">
        <v>874</v>
      </c>
      <c r="I98" s="6">
        <v>46198</v>
      </c>
    </row>
    <row r="99" spans="1:9" x14ac:dyDescent="0.3">
      <c r="A99" s="5" t="s">
        <v>1224</v>
      </c>
      <c r="B99" s="5" t="s">
        <v>638</v>
      </c>
      <c r="C99" s="5" t="s">
        <v>1225</v>
      </c>
      <c r="D99" s="5" t="s">
        <v>1226</v>
      </c>
      <c r="E99" s="5" t="s">
        <v>12</v>
      </c>
      <c r="F99" s="5" t="s">
        <v>1172</v>
      </c>
      <c r="G99" s="5" t="s">
        <v>496</v>
      </c>
      <c r="H99" s="5" t="s">
        <v>874</v>
      </c>
      <c r="I99" s="6">
        <v>46198</v>
      </c>
    </row>
    <row r="100" spans="1:9" x14ac:dyDescent="0.3">
      <c r="A100" s="5" t="s">
        <v>1227</v>
      </c>
      <c r="B100" s="5" t="s">
        <v>664</v>
      </c>
      <c r="C100" s="5" t="s">
        <v>1228</v>
      </c>
      <c r="D100" s="5" t="s">
        <v>1229</v>
      </c>
      <c r="E100" s="5" t="s">
        <v>9</v>
      </c>
      <c r="F100" s="5" t="s">
        <v>1217</v>
      </c>
      <c r="G100" s="5" t="s">
        <v>496</v>
      </c>
      <c r="H100" s="5" t="s">
        <v>874</v>
      </c>
      <c r="I100" s="6">
        <v>46195</v>
      </c>
    </row>
    <row r="101" spans="1:9" x14ac:dyDescent="0.3">
      <c r="A101" s="5" t="s">
        <v>1230</v>
      </c>
      <c r="B101" s="5" t="s">
        <v>697</v>
      </c>
      <c r="C101" s="5" t="s">
        <v>1231</v>
      </c>
      <c r="D101" s="5" t="s">
        <v>1232</v>
      </c>
      <c r="E101" s="5" t="s">
        <v>1233</v>
      </c>
      <c r="F101" s="5" t="s">
        <v>1234</v>
      </c>
      <c r="G101" s="5" t="s">
        <v>496</v>
      </c>
      <c r="H101" s="5" t="s">
        <v>874</v>
      </c>
      <c r="I101" s="6">
        <v>46198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F0BF03-F202-4D7B-A718-847A5F5EE698}">
  <dimension ref="A1:I13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7.21875" bestFit="1" customWidth="1"/>
    <col min="2" max="2" width="13.88671875" bestFit="1" customWidth="1"/>
    <col min="3" max="3" width="28.33203125" bestFit="1" customWidth="1"/>
    <col min="4" max="4" width="11.5546875" bestFit="1" customWidth="1"/>
    <col min="5" max="5" width="13.44140625" bestFit="1" customWidth="1"/>
    <col min="6" max="6" width="14.44140625" bestFit="1" customWidth="1"/>
    <col min="7" max="7" width="8.5546875" bestFit="1" customWidth="1"/>
    <col min="8" max="8" width="10.33203125" bestFit="1" customWidth="1"/>
    <col min="9" max="9" width="23.44140625" bestFit="1" customWidth="1"/>
  </cols>
  <sheetData>
    <row r="1" spans="1:9" x14ac:dyDescent="0.3">
      <c r="A1" s="17" t="s">
        <v>863</v>
      </c>
      <c r="B1" s="17" t="s">
        <v>864</v>
      </c>
      <c r="C1" s="17" t="s">
        <v>865</v>
      </c>
      <c r="D1" s="17" t="s">
        <v>1</v>
      </c>
      <c r="E1" s="17" t="s">
        <v>866</v>
      </c>
      <c r="F1" s="17" t="s">
        <v>867</v>
      </c>
      <c r="G1" s="17" t="s">
        <v>112</v>
      </c>
      <c r="H1" s="17" t="s">
        <v>108</v>
      </c>
      <c r="I1" s="17" t="s">
        <v>868</v>
      </c>
    </row>
    <row r="2" spans="1:9" x14ac:dyDescent="0.3">
      <c r="A2" s="5" t="s">
        <v>869</v>
      </c>
      <c r="B2" s="5" t="s">
        <v>870</v>
      </c>
      <c r="C2" s="5" t="s">
        <v>871</v>
      </c>
      <c r="D2" s="5" t="s">
        <v>9</v>
      </c>
      <c r="E2" s="5" t="s">
        <v>872</v>
      </c>
      <c r="F2" s="5" t="s">
        <v>873</v>
      </c>
      <c r="G2" s="5" t="s">
        <v>874</v>
      </c>
      <c r="H2" s="6">
        <v>43905</v>
      </c>
      <c r="I2" s="5" t="s">
        <v>875</v>
      </c>
    </row>
    <row r="3" spans="1:9" x14ac:dyDescent="0.3">
      <c r="A3" s="5" t="s">
        <v>876</v>
      </c>
      <c r="B3" s="5" t="s">
        <v>877</v>
      </c>
      <c r="C3" s="5" t="s">
        <v>878</v>
      </c>
      <c r="D3" s="5" t="s">
        <v>9</v>
      </c>
      <c r="E3" s="5" t="s">
        <v>872</v>
      </c>
      <c r="F3" s="5" t="s">
        <v>879</v>
      </c>
      <c r="G3" s="5" t="s">
        <v>874</v>
      </c>
      <c r="H3" s="6">
        <v>43636</v>
      </c>
      <c r="I3" s="5" t="s">
        <v>880</v>
      </c>
    </row>
    <row r="4" spans="1:9" x14ac:dyDescent="0.3">
      <c r="A4" s="5" t="s">
        <v>881</v>
      </c>
      <c r="B4" s="5" t="s">
        <v>882</v>
      </c>
      <c r="C4" s="5" t="s">
        <v>883</v>
      </c>
      <c r="D4" s="5" t="s">
        <v>9</v>
      </c>
      <c r="E4" s="5" t="s">
        <v>884</v>
      </c>
      <c r="F4" s="5" t="s">
        <v>885</v>
      </c>
      <c r="G4" s="5" t="s">
        <v>874</v>
      </c>
      <c r="H4" s="6">
        <v>44206</v>
      </c>
      <c r="I4" s="5" t="s">
        <v>886</v>
      </c>
    </row>
    <row r="5" spans="1:9" x14ac:dyDescent="0.3">
      <c r="A5" s="5" t="s">
        <v>887</v>
      </c>
      <c r="B5" s="5" t="s">
        <v>888</v>
      </c>
      <c r="C5" s="5" t="s">
        <v>889</v>
      </c>
      <c r="D5" s="5" t="s">
        <v>9</v>
      </c>
      <c r="E5" s="5" t="s">
        <v>884</v>
      </c>
      <c r="F5" s="5" t="s">
        <v>890</v>
      </c>
      <c r="G5" s="5" t="s">
        <v>874</v>
      </c>
      <c r="H5" s="6">
        <v>43344</v>
      </c>
      <c r="I5" s="5" t="s">
        <v>891</v>
      </c>
    </row>
    <row r="6" spans="1:9" x14ac:dyDescent="0.3">
      <c r="A6" s="5" t="s">
        <v>892</v>
      </c>
      <c r="B6" s="5" t="s">
        <v>893</v>
      </c>
      <c r="C6" s="5" t="s">
        <v>894</v>
      </c>
      <c r="D6" s="5" t="s">
        <v>9</v>
      </c>
      <c r="E6" s="5" t="s">
        <v>895</v>
      </c>
      <c r="F6" s="5" t="s">
        <v>896</v>
      </c>
      <c r="G6" s="5" t="s">
        <v>874</v>
      </c>
      <c r="H6" s="6">
        <v>44150</v>
      </c>
      <c r="I6" s="5" t="s">
        <v>897</v>
      </c>
    </row>
    <row r="7" spans="1:9" x14ac:dyDescent="0.3">
      <c r="A7" s="5" t="s">
        <v>898</v>
      </c>
      <c r="B7" s="5" t="s">
        <v>899</v>
      </c>
      <c r="C7" s="5" t="s">
        <v>900</v>
      </c>
      <c r="D7" s="5" t="s">
        <v>9</v>
      </c>
      <c r="E7" s="5" t="s">
        <v>895</v>
      </c>
      <c r="F7" s="5" t="s">
        <v>901</v>
      </c>
      <c r="G7" s="5" t="s">
        <v>874</v>
      </c>
      <c r="H7" s="6">
        <v>44620</v>
      </c>
      <c r="I7" s="5" t="s">
        <v>902</v>
      </c>
    </row>
    <row r="8" spans="1:9" x14ac:dyDescent="0.3">
      <c r="A8" s="5" t="s">
        <v>903</v>
      </c>
      <c r="B8" s="5" t="s">
        <v>904</v>
      </c>
      <c r="C8" s="5" t="s">
        <v>905</v>
      </c>
      <c r="D8" s="5" t="s">
        <v>9</v>
      </c>
      <c r="E8" s="5" t="s">
        <v>872</v>
      </c>
      <c r="F8" s="5" t="s">
        <v>906</v>
      </c>
      <c r="G8" s="5" t="s">
        <v>874</v>
      </c>
      <c r="H8" s="6">
        <v>43567</v>
      </c>
      <c r="I8" s="5" t="s">
        <v>907</v>
      </c>
    </row>
    <row r="9" spans="1:9" x14ac:dyDescent="0.3">
      <c r="A9" s="5" t="s">
        <v>908</v>
      </c>
      <c r="B9" s="5" t="s">
        <v>909</v>
      </c>
      <c r="C9" s="5" t="s">
        <v>910</v>
      </c>
      <c r="D9" s="5" t="s">
        <v>9</v>
      </c>
      <c r="E9" s="5" t="s">
        <v>884</v>
      </c>
      <c r="F9" s="5" t="s">
        <v>911</v>
      </c>
      <c r="G9" s="5" t="s">
        <v>874</v>
      </c>
      <c r="H9" s="6">
        <v>44399</v>
      </c>
      <c r="I9" s="5" t="s">
        <v>912</v>
      </c>
    </row>
    <row r="10" spans="1:9" x14ac:dyDescent="0.3">
      <c r="A10" s="5" t="s">
        <v>913</v>
      </c>
      <c r="B10" s="5" t="s">
        <v>914</v>
      </c>
      <c r="C10" s="5" t="s">
        <v>915</v>
      </c>
      <c r="D10" s="5" t="s">
        <v>9</v>
      </c>
      <c r="E10" s="5" t="s">
        <v>916</v>
      </c>
      <c r="F10" s="5" t="s">
        <v>917</v>
      </c>
      <c r="G10" s="5" t="s">
        <v>874</v>
      </c>
      <c r="H10" s="6">
        <v>44048</v>
      </c>
      <c r="I10" s="5" t="s">
        <v>918</v>
      </c>
    </row>
    <row r="11" spans="1:9" x14ac:dyDescent="0.3">
      <c r="A11" s="5" t="s">
        <v>919</v>
      </c>
      <c r="B11" s="5" t="s">
        <v>920</v>
      </c>
      <c r="C11" s="5" t="s">
        <v>921</v>
      </c>
      <c r="D11" s="5" t="s">
        <v>9</v>
      </c>
      <c r="E11" s="5" t="s">
        <v>872</v>
      </c>
      <c r="F11" s="5" t="s">
        <v>922</v>
      </c>
      <c r="G11" s="5" t="s">
        <v>874</v>
      </c>
      <c r="H11" s="6">
        <v>43070</v>
      </c>
      <c r="I11" s="5" t="s">
        <v>923</v>
      </c>
    </row>
    <row r="12" spans="1:9" x14ac:dyDescent="0.3">
      <c r="A12" s="5" t="s">
        <v>924</v>
      </c>
      <c r="B12" s="5" t="s">
        <v>925</v>
      </c>
      <c r="C12" s="5" t="s">
        <v>926</v>
      </c>
      <c r="D12" s="5" t="s">
        <v>9</v>
      </c>
      <c r="E12" s="5" t="s">
        <v>895</v>
      </c>
      <c r="F12" s="5" t="s">
        <v>927</v>
      </c>
      <c r="G12" s="5" t="s">
        <v>874</v>
      </c>
      <c r="H12" s="6">
        <v>44699</v>
      </c>
      <c r="I12" s="5" t="s">
        <v>928</v>
      </c>
    </row>
    <row r="13" spans="1:9" x14ac:dyDescent="0.3">
      <c r="A13" s="5" t="s">
        <v>929</v>
      </c>
      <c r="B13" s="5" t="s">
        <v>930</v>
      </c>
      <c r="C13" s="5" t="s">
        <v>931</v>
      </c>
      <c r="D13" s="5" t="s">
        <v>9</v>
      </c>
      <c r="E13" s="5" t="s">
        <v>884</v>
      </c>
      <c r="F13" s="5" t="s">
        <v>932</v>
      </c>
      <c r="G13" s="5" t="s">
        <v>933</v>
      </c>
      <c r="H13" s="6">
        <v>43768</v>
      </c>
      <c r="I13" s="5" t="s">
        <v>934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7BA3DA-B169-4A63-AEEF-5F328A52BE21}">
  <dimension ref="A1:K15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3" customWidth="1"/>
    <col min="2" max="2" width="27.77734375" customWidth="1"/>
    <col min="3" max="3" width="40.77734375" customWidth="1"/>
    <col min="4" max="4" width="37" customWidth="1"/>
    <col min="5" max="5" width="16.6640625" customWidth="1"/>
    <col min="6" max="6" width="33.33203125" customWidth="1"/>
    <col min="7" max="7" width="17.5546875" customWidth="1"/>
    <col min="8" max="8" width="24.109375" customWidth="1"/>
    <col min="9" max="9" width="13" customWidth="1"/>
    <col min="10" max="10" width="17.5546875" customWidth="1"/>
    <col min="11" max="11" width="46.33203125" customWidth="1"/>
  </cols>
  <sheetData>
    <row r="1" spans="1:11" x14ac:dyDescent="0.3">
      <c r="A1" s="30" t="s">
        <v>1717</v>
      </c>
      <c r="B1" s="29" t="s">
        <v>864</v>
      </c>
      <c r="C1" s="29" t="s">
        <v>865</v>
      </c>
      <c r="D1" s="29" t="s">
        <v>1718</v>
      </c>
      <c r="E1" s="29" t="s">
        <v>1</v>
      </c>
      <c r="F1" s="29" t="s">
        <v>1719</v>
      </c>
      <c r="G1" s="29" t="s">
        <v>1720</v>
      </c>
      <c r="H1" s="29" t="s">
        <v>1721</v>
      </c>
      <c r="I1" s="29" t="s">
        <v>112</v>
      </c>
      <c r="J1" s="29" t="s">
        <v>1722</v>
      </c>
      <c r="K1" s="31" t="s">
        <v>114</v>
      </c>
    </row>
    <row r="2" spans="1:11" x14ac:dyDescent="0.3">
      <c r="A2" s="24" t="s">
        <v>1723</v>
      </c>
      <c r="B2" s="18" t="s">
        <v>1724</v>
      </c>
      <c r="C2" s="18" t="s">
        <v>1725</v>
      </c>
      <c r="D2" s="18" t="s">
        <v>1726</v>
      </c>
      <c r="E2" s="18" t="s">
        <v>9</v>
      </c>
      <c r="F2" s="18" t="s">
        <v>1727</v>
      </c>
      <c r="G2" s="19">
        <v>44635</v>
      </c>
      <c r="H2" s="18" t="s">
        <v>1728</v>
      </c>
      <c r="I2" s="18" t="s">
        <v>874</v>
      </c>
      <c r="J2" s="19">
        <v>46461</v>
      </c>
      <c r="K2" s="27" t="s">
        <v>1729</v>
      </c>
    </row>
    <row r="3" spans="1:11" x14ac:dyDescent="0.3">
      <c r="A3" s="24" t="s">
        <v>1730</v>
      </c>
      <c r="B3" s="18" t="s">
        <v>627</v>
      </c>
      <c r="C3" s="18" t="s">
        <v>1731</v>
      </c>
      <c r="D3" s="18" t="s">
        <v>1732</v>
      </c>
      <c r="E3" s="18" t="s">
        <v>9</v>
      </c>
      <c r="F3" s="18" t="s">
        <v>1727</v>
      </c>
      <c r="G3" s="19">
        <v>44936</v>
      </c>
      <c r="H3" s="18" t="s">
        <v>1724</v>
      </c>
      <c r="I3" s="18" t="s">
        <v>874</v>
      </c>
      <c r="J3" s="19">
        <v>46397</v>
      </c>
      <c r="K3" s="27" t="s">
        <v>1733</v>
      </c>
    </row>
    <row r="4" spans="1:11" x14ac:dyDescent="0.3">
      <c r="A4" s="24" t="s">
        <v>1734</v>
      </c>
      <c r="B4" s="18" t="s">
        <v>710</v>
      </c>
      <c r="C4" s="18" t="s">
        <v>1163</v>
      </c>
      <c r="D4" s="18" t="s">
        <v>1735</v>
      </c>
      <c r="E4" s="18" t="s">
        <v>9</v>
      </c>
      <c r="F4" s="18" t="s">
        <v>1736</v>
      </c>
      <c r="G4" s="19">
        <v>45097</v>
      </c>
      <c r="H4" s="18" t="s">
        <v>627</v>
      </c>
      <c r="I4" s="18" t="s">
        <v>874</v>
      </c>
      <c r="J4" s="19">
        <v>46387</v>
      </c>
      <c r="K4" s="27" t="s">
        <v>1737</v>
      </c>
    </row>
    <row r="5" spans="1:11" x14ac:dyDescent="0.3">
      <c r="A5" s="24" t="s">
        <v>1738</v>
      </c>
      <c r="B5" s="18" t="s">
        <v>712</v>
      </c>
      <c r="C5" s="18" t="s">
        <v>1739</v>
      </c>
      <c r="D5" s="18" t="s">
        <v>1740</v>
      </c>
      <c r="E5" s="18" t="s">
        <v>12</v>
      </c>
      <c r="F5" s="18" t="s">
        <v>1727</v>
      </c>
      <c r="G5" s="19">
        <v>44774</v>
      </c>
      <c r="H5" s="18" t="s">
        <v>1724</v>
      </c>
      <c r="I5" s="18" t="s">
        <v>874</v>
      </c>
      <c r="J5" s="19">
        <v>46600</v>
      </c>
      <c r="K5" s="27" t="s">
        <v>1741</v>
      </c>
    </row>
    <row r="6" spans="1:11" x14ac:dyDescent="0.3">
      <c r="A6" s="24" t="s">
        <v>1742</v>
      </c>
      <c r="B6" s="18" t="s">
        <v>1743</v>
      </c>
      <c r="C6" s="18" t="s">
        <v>1744</v>
      </c>
      <c r="D6" s="18" t="s">
        <v>1745</v>
      </c>
      <c r="E6" s="18" t="s">
        <v>9</v>
      </c>
      <c r="F6" s="18" t="s">
        <v>1727</v>
      </c>
      <c r="G6" s="19">
        <v>44326</v>
      </c>
      <c r="H6" s="18" t="s">
        <v>1728</v>
      </c>
      <c r="I6" s="18" t="s">
        <v>874</v>
      </c>
      <c r="J6" s="19">
        <v>46517</v>
      </c>
      <c r="K6" s="27" t="s">
        <v>1746</v>
      </c>
    </row>
    <row r="7" spans="1:11" x14ac:dyDescent="0.3">
      <c r="A7" s="24" t="s">
        <v>1747</v>
      </c>
      <c r="B7" s="18" t="s">
        <v>657</v>
      </c>
      <c r="C7" s="18" t="s">
        <v>1748</v>
      </c>
      <c r="D7" s="18" t="s">
        <v>1749</v>
      </c>
      <c r="E7" s="18" t="s">
        <v>9</v>
      </c>
      <c r="F7" s="18" t="s">
        <v>1750</v>
      </c>
      <c r="G7" s="19">
        <v>45337</v>
      </c>
      <c r="H7" s="18" t="s">
        <v>627</v>
      </c>
      <c r="I7" s="18" t="s">
        <v>874</v>
      </c>
      <c r="J7" s="19">
        <v>46249</v>
      </c>
      <c r="K7" s="27" t="s">
        <v>1751</v>
      </c>
    </row>
    <row r="8" spans="1:11" x14ac:dyDescent="0.3">
      <c r="A8" s="24" t="s">
        <v>1752</v>
      </c>
      <c r="B8" s="18" t="s">
        <v>730</v>
      </c>
      <c r="C8" s="18" t="s">
        <v>1165</v>
      </c>
      <c r="D8" s="18" t="s">
        <v>1753</v>
      </c>
      <c r="E8" s="18" t="s">
        <v>10</v>
      </c>
      <c r="F8" s="18" t="s">
        <v>1754</v>
      </c>
      <c r="G8" s="19">
        <v>45170</v>
      </c>
      <c r="H8" s="18" t="s">
        <v>627</v>
      </c>
      <c r="I8" s="18" t="s">
        <v>874</v>
      </c>
      <c r="J8" s="19">
        <v>46266</v>
      </c>
      <c r="K8" s="27" t="s">
        <v>1755</v>
      </c>
    </row>
    <row r="9" spans="1:11" x14ac:dyDescent="0.3">
      <c r="A9" s="24" t="s">
        <v>1756</v>
      </c>
      <c r="B9" s="18" t="s">
        <v>623</v>
      </c>
      <c r="C9" s="18" t="s">
        <v>1149</v>
      </c>
      <c r="D9" s="18" t="s">
        <v>1757</v>
      </c>
      <c r="E9" s="18" t="s">
        <v>5</v>
      </c>
      <c r="F9" s="18" t="s">
        <v>1758</v>
      </c>
      <c r="G9" s="19">
        <v>45031</v>
      </c>
      <c r="H9" s="18" t="s">
        <v>1724</v>
      </c>
      <c r="I9" s="18" t="s">
        <v>874</v>
      </c>
      <c r="J9" s="19">
        <v>46310</v>
      </c>
      <c r="K9" s="27" t="s">
        <v>1759</v>
      </c>
    </row>
    <row r="10" spans="1:11" x14ac:dyDescent="0.3">
      <c r="A10" s="24" t="s">
        <v>1760</v>
      </c>
      <c r="B10" s="18" t="s">
        <v>718</v>
      </c>
      <c r="C10" s="18" t="s">
        <v>1761</v>
      </c>
      <c r="D10" s="18" t="s">
        <v>1762</v>
      </c>
      <c r="E10" s="18" t="s">
        <v>9</v>
      </c>
      <c r="F10" s="18" t="s">
        <v>1763</v>
      </c>
      <c r="G10" s="19">
        <v>45296</v>
      </c>
      <c r="H10" s="18" t="s">
        <v>1743</v>
      </c>
      <c r="I10" s="18" t="s">
        <v>874</v>
      </c>
      <c r="J10" s="19">
        <v>46208</v>
      </c>
      <c r="K10" s="27" t="s">
        <v>1764</v>
      </c>
    </row>
    <row r="11" spans="1:11" x14ac:dyDescent="0.3">
      <c r="A11" s="24" t="s">
        <v>1765</v>
      </c>
      <c r="B11" s="18" t="s">
        <v>716</v>
      </c>
      <c r="C11" s="18" t="s">
        <v>1766</v>
      </c>
      <c r="D11" s="18" t="s">
        <v>1767</v>
      </c>
      <c r="E11" s="18" t="s">
        <v>12</v>
      </c>
      <c r="F11" s="18" t="s">
        <v>1768</v>
      </c>
      <c r="G11" s="19">
        <v>45250</v>
      </c>
      <c r="H11" s="18" t="s">
        <v>712</v>
      </c>
      <c r="I11" s="18" t="s">
        <v>874</v>
      </c>
      <c r="J11" s="19">
        <v>46346</v>
      </c>
      <c r="K11" s="27" t="s">
        <v>1769</v>
      </c>
    </row>
    <row r="12" spans="1:11" x14ac:dyDescent="0.3">
      <c r="A12" s="24" t="s">
        <v>1770</v>
      </c>
      <c r="B12" s="18" t="s">
        <v>722</v>
      </c>
      <c r="C12" s="18" t="s">
        <v>1771</v>
      </c>
      <c r="D12" s="18" t="s">
        <v>1772</v>
      </c>
      <c r="E12" s="18" t="s">
        <v>9</v>
      </c>
      <c r="F12" s="18" t="s">
        <v>1773</v>
      </c>
      <c r="G12" s="19">
        <v>45361</v>
      </c>
      <c r="H12" s="18" t="s">
        <v>710</v>
      </c>
      <c r="I12" s="18" t="s">
        <v>874</v>
      </c>
      <c r="J12" s="19">
        <v>46275</v>
      </c>
      <c r="K12" s="27" t="s">
        <v>1774</v>
      </c>
    </row>
    <row r="13" spans="1:11" x14ac:dyDescent="0.3">
      <c r="A13" s="25" t="s">
        <v>1775</v>
      </c>
      <c r="B13" s="20" t="s">
        <v>724</v>
      </c>
      <c r="C13" s="20" t="s">
        <v>1776</v>
      </c>
      <c r="D13" s="20" t="s">
        <v>1777</v>
      </c>
      <c r="E13" s="20" t="s">
        <v>9</v>
      </c>
      <c r="F13" s="20" t="s">
        <v>1778</v>
      </c>
      <c r="G13" s="21">
        <v>45122</v>
      </c>
      <c r="H13" s="20" t="s">
        <v>710</v>
      </c>
      <c r="I13" s="20" t="s">
        <v>874</v>
      </c>
      <c r="J13" s="21">
        <v>46218</v>
      </c>
      <c r="K13" s="28" t="s">
        <v>1779</v>
      </c>
    </row>
    <row r="15" spans="1:11" x14ac:dyDescent="0.3">
      <c r="A15" s="181" t="s">
        <v>1780</v>
      </c>
      <c r="B15" s="174"/>
      <c r="C15" s="174"/>
      <c r="D15" s="174"/>
      <c r="E15" s="174"/>
      <c r="F15" s="174"/>
      <c r="G15" s="174"/>
      <c r="H15" s="174"/>
      <c r="I15" s="174"/>
      <c r="J15" s="174"/>
      <c r="K15" s="174"/>
    </row>
  </sheetData>
  <mergeCells count="1">
    <mergeCell ref="A15:K15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58773E-1641-478D-A1BA-53A189351204}">
  <dimension ref="A1:AA81"/>
  <sheetViews>
    <sheetView workbookViewId="0">
      <pane ySplit="1" topLeftCell="A2" activePane="bottomLeft" state="frozen"/>
      <selection pane="bottomLeft" activeCell="H1" sqref="H1:H1048576"/>
    </sheetView>
  </sheetViews>
  <sheetFormatPr defaultRowHeight="14.4" x14ac:dyDescent="0.3"/>
  <cols>
    <col min="1" max="1" width="10.44140625" bestFit="1" customWidth="1"/>
    <col min="2" max="2" width="38.77734375" bestFit="1" customWidth="1"/>
    <col min="3" max="3" width="13.5546875" bestFit="1" customWidth="1"/>
    <col min="4" max="4" width="32.109375" bestFit="1" customWidth="1"/>
    <col min="5" max="5" width="12.109375" bestFit="1" customWidth="1"/>
    <col min="6" max="6" width="7.88671875" bestFit="1" customWidth="1"/>
    <col min="7" max="7" width="11.5546875" bestFit="1" customWidth="1"/>
    <col min="8" max="8" width="17.5546875" customWidth="1"/>
    <col min="9" max="10" width="23.109375" bestFit="1" customWidth="1"/>
    <col min="11" max="11" width="17.109375" bestFit="1" customWidth="1"/>
    <col min="12" max="12" width="16.5546875" bestFit="1" customWidth="1"/>
    <col min="13" max="13" width="9.88671875" bestFit="1" customWidth="1"/>
    <col min="14" max="14" width="12.44140625" bestFit="1" customWidth="1"/>
    <col min="15" max="15" width="56.109375" bestFit="1" customWidth="1"/>
    <col min="16" max="16" width="17.5546875" customWidth="1"/>
    <col min="17" max="17" width="55.5546875" customWidth="1"/>
    <col min="18" max="18" width="25.88671875" customWidth="1"/>
    <col min="19" max="19" width="22.21875" customWidth="1"/>
    <col min="20" max="21" width="18.5546875" customWidth="1"/>
    <col min="22" max="23" width="22.21875" customWidth="1"/>
    <col min="24" max="24" width="16.6640625" customWidth="1"/>
    <col min="25" max="25" width="20.33203125" customWidth="1"/>
    <col min="26" max="26" width="27.77734375" customWidth="1"/>
    <col min="27" max="27" width="22.21875" customWidth="1"/>
  </cols>
  <sheetData>
    <row r="1" spans="1:27" ht="25.05" customHeight="1" x14ac:dyDescent="0.3">
      <c r="A1" s="4" t="s">
        <v>103</v>
      </c>
      <c r="B1" s="4" t="s">
        <v>104</v>
      </c>
      <c r="C1" s="4" t="s">
        <v>1</v>
      </c>
      <c r="D1" s="4" t="s">
        <v>2</v>
      </c>
      <c r="E1" s="4" t="s">
        <v>105</v>
      </c>
      <c r="F1" s="4" t="s">
        <v>106</v>
      </c>
      <c r="G1" s="4" t="s">
        <v>107</v>
      </c>
      <c r="H1" s="4" t="s">
        <v>1812</v>
      </c>
      <c r="I1" s="4" t="s">
        <v>108</v>
      </c>
      <c r="J1" s="4" t="s">
        <v>109</v>
      </c>
      <c r="K1" s="4" t="s">
        <v>110</v>
      </c>
      <c r="L1" s="4" t="s">
        <v>111</v>
      </c>
      <c r="M1" s="4" t="s">
        <v>112</v>
      </c>
      <c r="N1" s="4" t="s">
        <v>113</v>
      </c>
      <c r="O1" s="4" t="s">
        <v>114</v>
      </c>
      <c r="P1" s="56" t="s">
        <v>1906</v>
      </c>
      <c r="Q1" s="56" t="s">
        <v>1907</v>
      </c>
      <c r="R1" s="56" t="s">
        <v>1934</v>
      </c>
      <c r="S1" s="56" t="s">
        <v>1935</v>
      </c>
      <c r="T1" s="56" t="s">
        <v>1936</v>
      </c>
      <c r="U1" s="2" t="s">
        <v>2549</v>
      </c>
      <c r="V1" s="2" t="s">
        <v>2550</v>
      </c>
      <c r="W1" s="2" t="s">
        <v>2551</v>
      </c>
      <c r="X1" s="2" t="s">
        <v>2552</v>
      </c>
      <c r="Y1" s="2" t="s">
        <v>2553</v>
      </c>
      <c r="Z1" s="2" t="s">
        <v>2554</v>
      </c>
      <c r="AA1" s="2" t="s">
        <v>2555</v>
      </c>
    </row>
    <row r="2" spans="1:27" x14ac:dyDescent="0.3">
      <c r="A2" s="5" t="s">
        <v>115</v>
      </c>
      <c r="B2" s="5" t="s">
        <v>116</v>
      </c>
      <c r="C2" s="5" t="s">
        <v>5</v>
      </c>
      <c r="D2" s="5" t="s">
        <v>16</v>
      </c>
      <c r="E2" s="5" t="s">
        <v>117</v>
      </c>
      <c r="F2" s="5" t="s">
        <v>118</v>
      </c>
      <c r="G2" s="5" t="s">
        <v>119</v>
      </c>
      <c r="H2" s="6">
        <v>46201</v>
      </c>
      <c r="I2" s="6">
        <v>46203</v>
      </c>
      <c r="J2" s="6">
        <v>46203</v>
      </c>
      <c r="K2" s="5" t="s">
        <v>120</v>
      </c>
      <c r="L2" s="5" t="s">
        <v>121</v>
      </c>
      <c r="M2" s="5" t="s">
        <v>2583</v>
      </c>
      <c r="N2" s="5" t="s">
        <v>123</v>
      </c>
      <c r="O2" s="5" t="s">
        <v>124</v>
      </c>
      <c r="P2" s="57">
        <v>0.75</v>
      </c>
      <c r="Q2" t="s">
        <v>1908</v>
      </c>
      <c r="S2" t="s">
        <v>1938</v>
      </c>
      <c r="U2" t="s">
        <v>1109</v>
      </c>
      <c r="V2" t="s">
        <v>2556</v>
      </c>
      <c r="X2" t="s">
        <v>2557</v>
      </c>
      <c r="Y2" s="57">
        <v>0.79</v>
      </c>
      <c r="Z2" t="s">
        <v>2558</v>
      </c>
      <c r="AA2" t="s">
        <v>2559</v>
      </c>
    </row>
    <row r="3" spans="1:27" x14ac:dyDescent="0.3">
      <c r="A3" s="5" t="s">
        <v>125</v>
      </c>
      <c r="B3" s="5" t="s">
        <v>126</v>
      </c>
      <c r="C3" s="5" t="s">
        <v>6</v>
      </c>
      <c r="D3" s="5" t="s">
        <v>35</v>
      </c>
      <c r="E3" s="5" t="s">
        <v>127</v>
      </c>
      <c r="F3" s="5" t="s">
        <v>128</v>
      </c>
      <c r="G3" s="5" t="s">
        <v>129</v>
      </c>
      <c r="H3" s="6">
        <v>46205</v>
      </c>
      <c r="I3" s="6">
        <v>46207</v>
      </c>
      <c r="J3" s="6">
        <v>46208</v>
      </c>
      <c r="K3" s="5" t="s">
        <v>130</v>
      </c>
      <c r="L3" s="5" t="s">
        <v>131</v>
      </c>
      <c r="M3" s="5" t="s">
        <v>2584</v>
      </c>
      <c r="N3" s="5"/>
      <c r="O3" s="5" t="s">
        <v>339</v>
      </c>
      <c r="P3" s="57">
        <v>0.95</v>
      </c>
      <c r="U3" t="s">
        <v>1115</v>
      </c>
      <c r="V3" t="s">
        <v>2560</v>
      </c>
      <c r="X3" t="s">
        <v>2561</v>
      </c>
      <c r="Y3" s="57">
        <v>0.85</v>
      </c>
      <c r="Z3" t="s">
        <v>2562</v>
      </c>
      <c r="AA3" t="s">
        <v>2563</v>
      </c>
    </row>
    <row r="4" spans="1:27" x14ac:dyDescent="0.3">
      <c r="A4" s="5" t="s">
        <v>132</v>
      </c>
      <c r="B4" s="5" t="s">
        <v>133</v>
      </c>
      <c r="C4" s="5" t="s">
        <v>7</v>
      </c>
      <c r="D4" s="5" t="s">
        <v>51</v>
      </c>
      <c r="E4" s="5" t="s">
        <v>117</v>
      </c>
      <c r="F4" s="5" t="s">
        <v>118</v>
      </c>
      <c r="G4" s="5" t="s">
        <v>134</v>
      </c>
      <c r="H4" s="6">
        <v>46203</v>
      </c>
      <c r="I4" s="6">
        <v>46205</v>
      </c>
      <c r="J4" s="6">
        <v>46205</v>
      </c>
      <c r="K4" s="5" t="s">
        <v>120</v>
      </c>
      <c r="L4" s="5" t="s">
        <v>121</v>
      </c>
      <c r="M4" s="5" t="s">
        <v>2584</v>
      </c>
      <c r="N4" s="5" t="s">
        <v>123</v>
      </c>
      <c r="O4" s="5" t="s">
        <v>135</v>
      </c>
      <c r="P4" s="57">
        <v>0.7</v>
      </c>
      <c r="Q4" t="s">
        <v>1909</v>
      </c>
      <c r="U4" t="s">
        <v>1118</v>
      </c>
      <c r="V4" t="s">
        <v>2560</v>
      </c>
      <c r="X4" t="s">
        <v>2561</v>
      </c>
      <c r="Y4" s="57">
        <v>0.91</v>
      </c>
      <c r="Z4" t="s">
        <v>2564</v>
      </c>
      <c r="AA4" t="s">
        <v>2565</v>
      </c>
    </row>
    <row r="5" spans="1:27" x14ac:dyDescent="0.3">
      <c r="A5" s="5" t="s">
        <v>136</v>
      </c>
      <c r="B5" s="5" t="s">
        <v>137</v>
      </c>
      <c r="C5" s="5" t="s">
        <v>8</v>
      </c>
      <c r="D5" s="5" t="s">
        <v>56</v>
      </c>
      <c r="E5" s="5" t="s">
        <v>127</v>
      </c>
      <c r="F5" s="5" t="s">
        <v>128</v>
      </c>
      <c r="G5" s="5" t="s">
        <v>129</v>
      </c>
      <c r="H5" s="6">
        <v>46213</v>
      </c>
      <c r="I5" s="6">
        <v>46215</v>
      </c>
      <c r="J5" s="6">
        <v>46216</v>
      </c>
      <c r="K5" s="5" t="s">
        <v>138</v>
      </c>
      <c r="L5" s="5" t="s">
        <v>139</v>
      </c>
      <c r="M5" s="5" t="s">
        <v>2585</v>
      </c>
      <c r="N5" s="5"/>
      <c r="O5" s="5" t="s">
        <v>340</v>
      </c>
      <c r="P5" s="57">
        <v>0.88</v>
      </c>
      <c r="U5" t="s">
        <v>1121</v>
      </c>
      <c r="V5" t="s">
        <v>2566</v>
      </c>
      <c r="X5" t="s">
        <v>2293</v>
      </c>
      <c r="Y5" s="57">
        <v>0.78</v>
      </c>
      <c r="Z5" t="s">
        <v>2567</v>
      </c>
      <c r="AA5" t="s">
        <v>2563</v>
      </c>
    </row>
    <row r="6" spans="1:27" x14ac:dyDescent="0.3">
      <c r="A6" s="5" t="s">
        <v>140</v>
      </c>
      <c r="B6" s="5" t="s">
        <v>141</v>
      </c>
      <c r="C6" s="5" t="s">
        <v>9</v>
      </c>
      <c r="D6" s="5" t="s">
        <v>70</v>
      </c>
      <c r="E6" s="5" t="s">
        <v>127</v>
      </c>
      <c r="F6" s="5" t="s">
        <v>128</v>
      </c>
      <c r="G6" s="5" t="s">
        <v>142</v>
      </c>
      <c r="H6" s="6">
        <v>46217</v>
      </c>
      <c r="I6" s="6">
        <v>46219</v>
      </c>
      <c r="J6" s="6">
        <v>46220</v>
      </c>
      <c r="K6" s="5" t="s">
        <v>143</v>
      </c>
      <c r="L6" s="5" t="s">
        <v>144</v>
      </c>
      <c r="M6" s="5" t="s">
        <v>2343</v>
      </c>
      <c r="N6" s="5" t="s">
        <v>123</v>
      </c>
      <c r="O6" s="5" t="s">
        <v>145</v>
      </c>
      <c r="P6" s="57">
        <v>0.8</v>
      </c>
      <c r="Q6" t="s">
        <v>1910</v>
      </c>
      <c r="U6" t="s">
        <v>1124</v>
      </c>
      <c r="V6" t="s">
        <v>2343</v>
      </c>
      <c r="X6" t="s">
        <v>2293</v>
      </c>
      <c r="Y6" s="57">
        <v>0.52</v>
      </c>
      <c r="Z6" t="s">
        <v>2568</v>
      </c>
      <c r="AA6" t="s">
        <v>2559</v>
      </c>
    </row>
    <row r="7" spans="1:27" x14ac:dyDescent="0.3">
      <c r="A7" s="5" t="s">
        <v>146</v>
      </c>
      <c r="B7" s="5" t="s">
        <v>147</v>
      </c>
      <c r="C7" s="5" t="s">
        <v>10</v>
      </c>
      <c r="D7" s="5" t="s">
        <v>74</v>
      </c>
      <c r="E7" s="5" t="s">
        <v>117</v>
      </c>
      <c r="F7" s="5" t="s">
        <v>127</v>
      </c>
      <c r="G7" s="5" t="s">
        <v>142</v>
      </c>
      <c r="H7" s="6">
        <v>46221</v>
      </c>
      <c r="I7" s="6">
        <v>46223</v>
      </c>
      <c r="J7" s="6">
        <v>46223</v>
      </c>
      <c r="K7" s="5" t="s">
        <v>148</v>
      </c>
      <c r="L7" s="5" t="s">
        <v>149</v>
      </c>
      <c r="M7" s="5" t="s">
        <v>2343</v>
      </c>
      <c r="N7" s="5"/>
      <c r="O7" s="5" t="s">
        <v>341</v>
      </c>
      <c r="P7" s="57">
        <v>0.82</v>
      </c>
      <c r="U7" t="s">
        <v>1127</v>
      </c>
      <c r="V7" t="s">
        <v>2343</v>
      </c>
      <c r="X7" t="s">
        <v>2293</v>
      </c>
      <c r="Y7" s="57">
        <v>0.64</v>
      </c>
      <c r="Z7" t="s">
        <v>2569</v>
      </c>
      <c r="AA7" t="s">
        <v>2565</v>
      </c>
    </row>
    <row r="8" spans="1:27" x14ac:dyDescent="0.3">
      <c r="A8" s="5" t="s">
        <v>150</v>
      </c>
      <c r="B8" s="5" t="s">
        <v>151</v>
      </c>
      <c r="C8" s="5" t="s">
        <v>11</v>
      </c>
      <c r="D8" s="5" t="s">
        <v>84</v>
      </c>
      <c r="E8" s="5" t="s">
        <v>127</v>
      </c>
      <c r="F8" s="5" t="s">
        <v>128</v>
      </c>
      <c r="G8" s="5" t="s">
        <v>142</v>
      </c>
      <c r="H8" s="6">
        <v>46205</v>
      </c>
      <c r="I8" s="6">
        <v>46207</v>
      </c>
      <c r="J8" s="6">
        <v>46208</v>
      </c>
      <c r="K8" s="5" t="s">
        <v>120</v>
      </c>
      <c r="L8" s="5" t="s">
        <v>121</v>
      </c>
      <c r="M8" s="5" t="s">
        <v>2584</v>
      </c>
      <c r="N8" s="5" t="s">
        <v>123</v>
      </c>
      <c r="O8" s="5" t="s">
        <v>152</v>
      </c>
      <c r="P8" s="57">
        <v>0.65</v>
      </c>
      <c r="Q8" t="s">
        <v>1911</v>
      </c>
      <c r="U8" t="s">
        <v>1130</v>
      </c>
      <c r="V8" t="s">
        <v>2560</v>
      </c>
      <c r="X8" t="s">
        <v>2561</v>
      </c>
      <c r="Y8" s="57">
        <v>0.88</v>
      </c>
      <c r="Z8" t="s">
        <v>2570</v>
      </c>
      <c r="AA8" t="s">
        <v>2563</v>
      </c>
    </row>
    <row r="9" spans="1:27" x14ac:dyDescent="0.3">
      <c r="A9" s="5" t="s">
        <v>153</v>
      </c>
      <c r="B9" s="5" t="s">
        <v>154</v>
      </c>
      <c r="C9" s="5" t="s">
        <v>12</v>
      </c>
      <c r="D9" s="5" t="s">
        <v>93</v>
      </c>
      <c r="E9" s="5" t="s">
        <v>117</v>
      </c>
      <c r="F9" s="5" t="s">
        <v>118</v>
      </c>
      <c r="G9" s="5" t="s">
        <v>134</v>
      </c>
      <c r="H9" s="6">
        <v>46232</v>
      </c>
      <c r="I9" s="6">
        <v>46234</v>
      </c>
      <c r="J9" s="6">
        <v>46234</v>
      </c>
      <c r="K9" s="5" t="s">
        <v>155</v>
      </c>
      <c r="L9" s="5" t="s">
        <v>156</v>
      </c>
      <c r="M9" s="5" t="s">
        <v>2571</v>
      </c>
      <c r="N9" s="5"/>
      <c r="O9" s="5" t="s">
        <v>342</v>
      </c>
      <c r="P9" s="57">
        <v>0.7</v>
      </c>
      <c r="U9" t="s">
        <v>1133</v>
      </c>
      <c r="V9" t="s">
        <v>2571</v>
      </c>
      <c r="X9" t="s">
        <v>2572</v>
      </c>
      <c r="Y9" s="57">
        <v>0.26</v>
      </c>
      <c r="Z9" t="s">
        <v>2573</v>
      </c>
      <c r="AA9" t="s">
        <v>2559</v>
      </c>
    </row>
    <row r="10" spans="1:27" x14ac:dyDescent="0.3">
      <c r="A10" s="5" t="s">
        <v>157</v>
      </c>
      <c r="B10" s="5" t="s">
        <v>158</v>
      </c>
      <c r="C10" s="5" t="s">
        <v>5</v>
      </c>
      <c r="D10" s="5" t="s">
        <v>15</v>
      </c>
      <c r="E10" s="5" t="s">
        <v>117</v>
      </c>
      <c r="F10" s="5" t="s">
        <v>127</v>
      </c>
      <c r="G10" s="5" t="s">
        <v>142</v>
      </c>
      <c r="H10" s="6">
        <v>46236</v>
      </c>
      <c r="I10" s="6">
        <v>46238</v>
      </c>
      <c r="J10" s="6">
        <v>46238</v>
      </c>
      <c r="K10" s="5" t="s">
        <v>159</v>
      </c>
      <c r="L10" s="5" t="s">
        <v>121</v>
      </c>
      <c r="M10" s="5" t="s">
        <v>2571</v>
      </c>
      <c r="N10" s="5" t="s">
        <v>123</v>
      </c>
      <c r="O10" s="5" t="s">
        <v>160</v>
      </c>
      <c r="P10" s="57">
        <v>0.55000000000000004</v>
      </c>
      <c r="Q10" t="s">
        <v>1912</v>
      </c>
      <c r="U10" t="s">
        <v>940</v>
      </c>
      <c r="V10" t="s">
        <v>2571</v>
      </c>
      <c r="W10" t="s">
        <v>150</v>
      </c>
      <c r="X10" t="s">
        <v>2572</v>
      </c>
      <c r="Y10" s="57">
        <v>0.27</v>
      </c>
      <c r="Z10" t="s">
        <v>2558</v>
      </c>
      <c r="AA10" t="s">
        <v>2565</v>
      </c>
    </row>
    <row r="11" spans="1:27" x14ac:dyDescent="0.3">
      <c r="A11" s="5" t="s">
        <v>161</v>
      </c>
      <c r="B11" s="5" t="s">
        <v>162</v>
      </c>
      <c r="C11" s="5" t="s">
        <v>6</v>
      </c>
      <c r="D11" s="5" t="s">
        <v>36</v>
      </c>
      <c r="E11" s="5" t="s">
        <v>163</v>
      </c>
      <c r="F11" s="5" t="s">
        <v>127</v>
      </c>
      <c r="G11" s="5" t="s">
        <v>142</v>
      </c>
      <c r="H11" s="6">
        <v>46218</v>
      </c>
      <c r="I11" s="6">
        <v>46221</v>
      </c>
      <c r="J11" s="6">
        <v>46223</v>
      </c>
      <c r="K11" s="5" t="s">
        <v>143</v>
      </c>
      <c r="L11" s="5" t="s">
        <v>144</v>
      </c>
      <c r="M11" s="5" t="s">
        <v>2343</v>
      </c>
      <c r="N11" s="5" t="s">
        <v>123</v>
      </c>
      <c r="O11" s="5" t="s">
        <v>164</v>
      </c>
      <c r="P11" s="57">
        <v>0.6</v>
      </c>
      <c r="Q11" t="s">
        <v>1913</v>
      </c>
      <c r="U11" t="s">
        <v>946</v>
      </c>
      <c r="V11" t="s">
        <v>2343</v>
      </c>
      <c r="X11" t="s">
        <v>2293</v>
      </c>
      <c r="Y11" s="57">
        <v>0.64</v>
      </c>
      <c r="Z11" t="s">
        <v>2562</v>
      </c>
      <c r="AA11" t="s">
        <v>2563</v>
      </c>
    </row>
    <row r="12" spans="1:27" x14ac:dyDescent="0.3">
      <c r="A12" s="5" t="s">
        <v>165</v>
      </c>
      <c r="B12" s="5" t="s">
        <v>166</v>
      </c>
      <c r="C12" s="5" t="s">
        <v>7</v>
      </c>
      <c r="D12" s="5" t="s">
        <v>47</v>
      </c>
      <c r="E12" s="5" t="s">
        <v>117</v>
      </c>
      <c r="F12" s="5" t="s">
        <v>118</v>
      </c>
      <c r="G12" s="5" t="s">
        <v>134</v>
      </c>
      <c r="H12" s="6">
        <v>46244</v>
      </c>
      <c r="I12" s="6">
        <v>46246</v>
      </c>
      <c r="J12" s="6">
        <v>46246</v>
      </c>
      <c r="K12" s="5" t="s">
        <v>167</v>
      </c>
      <c r="L12" s="5" t="s">
        <v>168</v>
      </c>
      <c r="M12" s="5" t="s">
        <v>2571</v>
      </c>
      <c r="N12" s="5" t="s">
        <v>123</v>
      </c>
      <c r="O12" s="5" t="s">
        <v>160</v>
      </c>
      <c r="P12" s="57">
        <v>0.4</v>
      </c>
      <c r="U12" t="s">
        <v>949</v>
      </c>
      <c r="V12" t="s">
        <v>2571</v>
      </c>
      <c r="X12" t="s">
        <v>2572</v>
      </c>
      <c r="Y12" s="57">
        <v>0.28999999999999998</v>
      </c>
      <c r="Z12" t="s">
        <v>2564</v>
      </c>
      <c r="AA12" t="s">
        <v>2565</v>
      </c>
    </row>
    <row r="13" spans="1:27" x14ac:dyDescent="0.3">
      <c r="A13" s="5" t="s">
        <v>169</v>
      </c>
      <c r="B13" s="5" t="s">
        <v>170</v>
      </c>
      <c r="C13" s="5" t="s">
        <v>8</v>
      </c>
      <c r="D13" s="5" t="s">
        <v>59</v>
      </c>
      <c r="E13" s="5" t="s">
        <v>117</v>
      </c>
      <c r="F13" s="5" t="s">
        <v>127</v>
      </c>
      <c r="G13" s="5" t="s">
        <v>134</v>
      </c>
      <c r="H13" s="6">
        <v>46207</v>
      </c>
      <c r="I13" s="6">
        <v>46209</v>
      </c>
      <c r="J13" s="6">
        <v>46209</v>
      </c>
      <c r="K13" s="5" t="s">
        <v>120</v>
      </c>
      <c r="L13" s="5" t="s">
        <v>121</v>
      </c>
      <c r="M13" s="5" t="s">
        <v>2584</v>
      </c>
      <c r="N13" s="5" t="s">
        <v>123</v>
      </c>
      <c r="O13" s="5" t="s">
        <v>135</v>
      </c>
      <c r="P13" s="57">
        <v>0.72</v>
      </c>
      <c r="Q13" t="s">
        <v>1914</v>
      </c>
      <c r="U13" t="s">
        <v>952</v>
      </c>
      <c r="V13" t="s">
        <v>2560</v>
      </c>
      <c r="X13" t="s">
        <v>2561</v>
      </c>
      <c r="Y13" s="57">
        <v>0.89</v>
      </c>
      <c r="Z13" t="s">
        <v>2567</v>
      </c>
      <c r="AA13" t="s">
        <v>2559</v>
      </c>
    </row>
    <row r="14" spans="1:27" x14ac:dyDescent="0.3">
      <c r="A14" s="5" t="s">
        <v>171</v>
      </c>
      <c r="B14" s="5" t="s">
        <v>172</v>
      </c>
      <c r="C14" s="5" t="s">
        <v>9</v>
      </c>
      <c r="D14" s="5" t="s">
        <v>67</v>
      </c>
      <c r="E14" s="5" t="s">
        <v>117</v>
      </c>
      <c r="F14" s="5" t="s">
        <v>118</v>
      </c>
      <c r="G14" s="5" t="s">
        <v>134</v>
      </c>
      <c r="H14" s="6">
        <v>46252</v>
      </c>
      <c r="I14" s="6">
        <v>46254</v>
      </c>
      <c r="J14" s="6">
        <v>46254</v>
      </c>
      <c r="K14" s="5" t="s">
        <v>173</v>
      </c>
      <c r="L14" s="5" t="s">
        <v>144</v>
      </c>
      <c r="M14" s="5" t="s">
        <v>2571</v>
      </c>
      <c r="N14" s="5" t="s">
        <v>123</v>
      </c>
      <c r="O14" s="5" t="s">
        <v>174</v>
      </c>
      <c r="P14" s="57">
        <v>0.35</v>
      </c>
      <c r="U14" t="s">
        <v>955</v>
      </c>
      <c r="V14" t="s">
        <v>2571</v>
      </c>
      <c r="W14" t="s">
        <v>169</v>
      </c>
      <c r="X14" t="s">
        <v>2572</v>
      </c>
      <c r="Y14" s="57">
        <v>0.49</v>
      </c>
      <c r="Z14" t="s">
        <v>2568</v>
      </c>
      <c r="AA14" t="s">
        <v>2565</v>
      </c>
    </row>
    <row r="15" spans="1:27" x14ac:dyDescent="0.3">
      <c r="A15" s="5" t="s">
        <v>175</v>
      </c>
      <c r="B15" s="5" t="s">
        <v>176</v>
      </c>
      <c r="C15" s="5" t="s">
        <v>10</v>
      </c>
      <c r="D15" s="5" t="s">
        <v>75</v>
      </c>
      <c r="E15" s="5" t="s">
        <v>163</v>
      </c>
      <c r="F15" s="5" t="s">
        <v>128</v>
      </c>
      <c r="G15" s="5" t="s">
        <v>142</v>
      </c>
      <c r="H15" s="6">
        <v>46245</v>
      </c>
      <c r="I15" s="6">
        <v>46248</v>
      </c>
      <c r="J15" s="6">
        <v>46250</v>
      </c>
      <c r="K15" s="5" t="s">
        <v>167</v>
      </c>
      <c r="L15" s="5" t="s">
        <v>168</v>
      </c>
      <c r="M15" s="5" t="s">
        <v>2571</v>
      </c>
      <c r="N15" s="5" t="s">
        <v>123</v>
      </c>
      <c r="O15" s="5" t="s">
        <v>177</v>
      </c>
      <c r="P15" s="57">
        <v>0.45</v>
      </c>
      <c r="Q15" t="s">
        <v>1915</v>
      </c>
      <c r="U15" t="s">
        <v>958</v>
      </c>
      <c r="V15" t="s">
        <v>2571</v>
      </c>
      <c r="X15" t="s">
        <v>2572</v>
      </c>
      <c r="Y15" s="57">
        <v>0.21</v>
      </c>
      <c r="Z15" t="s">
        <v>2569</v>
      </c>
      <c r="AA15" t="s">
        <v>2563</v>
      </c>
    </row>
    <row r="16" spans="1:27" x14ac:dyDescent="0.3">
      <c r="A16" s="5" t="s">
        <v>178</v>
      </c>
      <c r="B16" s="5" t="s">
        <v>179</v>
      </c>
      <c r="C16" s="5" t="s">
        <v>11</v>
      </c>
      <c r="D16" s="5" t="s">
        <v>88</v>
      </c>
      <c r="E16" s="5" t="s">
        <v>163</v>
      </c>
      <c r="F16" s="5" t="s">
        <v>128</v>
      </c>
      <c r="G16" s="5" t="s">
        <v>142</v>
      </c>
      <c r="H16" s="6">
        <v>46253</v>
      </c>
      <c r="I16" s="6">
        <v>46256</v>
      </c>
      <c r="J16" s="6">
        <v>46258</v>
      </c>
      <c r="K16" s="5" t="s">
        <v>173</v>
      </c>
      <c r="L16" s="5" t="s">
        <v>144</v>
      </c>
      <c r="M16" s="5" t="s">
        <v>2571</v>
      </c>
      <c r="N16" s="5" t="s">
        <v>123</v>
      </c>
      <c r="O16" s="5" t="s">
        <v>180</v>
      </c>
      <c r="P16" s="57">
        <v>0.38</v>
      </c>
      <c r="Q16" t="s">
        <v>1916</v>
      </c>
      <c r="U16" t="s">
        <v>1109</v>
      </c>
      <c r="V16" t="s">
        <v>2571</v>
      </c>
      <c r="X16" t="s">
        <v>2572</v>
      </c>
      <c r="Y16" s="57">
        <v>0.24</v>
      </c>
      <c r="Z16" t="s">
        <v>2570</v>
      </c>
      <c r="AA16" t="s">
        <v>2563</v>
      </c>
    </row>
    <row r="17" spans="1:27" x14ac:dyDescent="0.3">
      <c r="A17" s="5" t="s">
        <v>181</v>
      </c>
      <c r="B17" s="5" t="s">
        <v>182</v>
      </c>
      <c r="C17" s="5" t="s">
        <v>12</v>
      </c>
      <c r="D17" s="5" t="s">
        <v>98</v>
      </c>
      <c r="E17" s="5" t="s">
        <v>163</v>
      </c>
      <c r="F17" s="5" t="s">
        <v>128</v>
      </c>
      <c r="G17" s="5" t="s">
        <v>142</v>
      </c>
      <c r="H17" s="6">
        <v>46266</v>
      </c>
      <c r="I17" s="6">
        <v>46269</v>
      </c>
      <c r="J17" s="6">
        <v>46271</v>
      </c>
      <c r="K17" s="5" t="s">
        <v>155</v>
      </c>
      <c r="L17" s="5" t="s">
        <v>156</v>
      </c>
      <c r="M17" s="5" t="s">
        <v>2574</v>
      </c>
      <c r="N17" s="5"/>
      <c r="O17" s="5" t="s">
        <v>343</v>
      </c>
      <c r="P17" s="57"/>
      <c r="T17" t="s">
        <v>1940</v>
      </c>
      <c r="U17" t="s">
        <v>1115</v>
      </c>
      <c r="V17" t="s">
        <v>2574</v>
      </c>
      <c r="X17" t="s">
        <v>2572</v>
      </c>
      <c r="Y17" s="57">
        <v>7.0000000000000007E-2</v>
      </c>
      <c r="Z17" t="s">
        <v>2573</v>
      </c>
      <c r="AA17" t="s">
        <v>2563</v>
      </c>
    </row>
    <row r="18" spans="1:27" x14ac:dyDescent="0.3">
      <c r="A18" s="5" t="s">
        <v>183</v>
      </c>
      <c r="B18" s="5" t="s">
        <v>184</v>
      </c>
      <c r="C18" s="5" t="s">
        <v>5</v>
      </c>
      <c r="D18" s="5" t="s">
        <v>25</v>
      </c>
      <c r="E18" s="5" t="s">
        <v>117</v>
      </c>
      <c r="F18" s="5" t="s">
        <v>118</v>
      </c>
      <c r="G18" s="5" t="s">
        <v>134</v>
      </c>
      <c r="H18" s="6">
        <v>46256</v>
      </c>
      <c r="I18" s="6">
        <v>46258</v>
      </c>
      <c r="J18" s="6">
        <v>46258</v>
      </c>
      <c r="K18" s="5" t="s">
        <v>173</v>
      </c>
      <c r="L18" s="5" t="s">
        <v>144</v>
      </c>
      <c r="M18" s="5" t="s">
        <v>2571</v>
      </c>
      <c r="N18" s="5" t="s">
        <v>123</v>
      </c>
      <c r="O18" s="5" t="s">
        <v>185</v>
      </c>
      <c r="P18" s="57">
        <v>0.3</v>
      </c>
      <c r="U18" t="s">
        <v>1118</v>
      </c>
      <c r="V18" t="s">
        <v>2571</v>
      </c>
      <c r="W18" t="s">
        <v>2575</v>
      </c>
      <c r="X18" t="s">
        <v>2572</v>
      </c>
      <c r="Y18" s="57">
        <v>0.35</v>
      </c>
      <c r="Z18" t="s">
        <v>2558</v>
      </c>
      <c r="AA18" t="s">
        <v>2559</v>
      </c>
    </row>
    <row r="19" spans="1:27" x14ac:dyDescent="0.3">
      <c r="A19" s="5" t="s">
        <v>186</v>
      </c>
      <c r="B19" s="5" t="s">
        <v>187</v>
      </c>
      <c r="C19" s="5" t="s">
        <v>6</v>
      </c>
      <c r="D19" s="5" t="s">
        <v>34</v>
      </c>
      <c r="E19" s="5" t="s">
        <v>117</v>
      </c>
      <c r="F19" s="5" t="s">
        <v>118</v>
      </c>
      <c r="G19" s="5" t="s">
        <v>134</v>
      </c>
      <c r="H19" s="6">
        <v>46275</v>
      </c>
      <c r="I19" s="6">
        <v>46277</v>
      </c>
      <c r="J19" s="6">
        <v>46277</v>
      </c>
      <c r="K19" s="5" t="s">
        <v>188</v>
      </c>
      <c r="L19" s="5" t="s">
        <v>189</v>
      </c>
      <c r="M19" s="5" t="s">
        <v>2574</v>
      </c>
      <c r="N19" s="5"/>
      <c r="O19" s="5" t="s">
        <v>344</v>
      </c>
      <c r="P19" s="57"/>
      <c r="U19" t="s">
        <v>1121</v>
      </c>
      <c r="V19" t="s">
        <v>2574</v>
      </c>
      <c r="X19" t="s">
        <v>2572</v>
      </c>
      <c r="Y19" s="57">
        <v>0.02</v>
      </c>
      <c r="Z19" t="s">
        <v>2562</v>
      </c>
      <c r="AA19" t="s">
        <v>2559</v>
      </c>
    </row>
    <row r="20" spans="1:27" x14ac:dyDescent="0.3">
      <c r="A20" s="5" t="s">
        <v>190</v>
      </c>
      <c r="B20" s="5" t="s">
        <v>191</v>
      </c>
      <c r="C20" s="5" t="s">
        <v>7</v>
      </c>
      <c r="D20" s="5" t="s">
        <v>44</v>
      </c>
      <c r="E20" s="5" t="s">
        <v>117</v>
      </c>
      <c r="F20" s="5" t="s">
        <v>118</v>
      </c>
      <c r="G20" s="5" t="s">
        <v>134</v>
      </c>
      <c r="H20" s="6">
        <v>46279</v>
      </c>
      <c r="I20" s="6">
        <v>46281</v>
      </c>
      <c r="J20" s="6">
        <v>46281</v>
      </c>
      <c r="K20" s="5" t="s">
        <v>192</v>
      </c>
      <c r="L20" s="5" t="s">
        <v>193</v>
      </c>
      <c r="M20" s="5" t="s">
        <v>2574</v>
      </c>
      <c r="N20" s="5" t="s">
        <v>123</v>
      </c>
      <c r="O20" s="5" t="s">
        <v>194</v>
      </c>
      <c r="P20" s="57"/>
      <c r="U20" t="s">
        <v>1124</v>
      </c>
      <c r="V20" t="s">
        <v>2574</v>
      </c>
      <c r="X20" t="s">
        <v>2572</v>
      </c>
      <c r="Y20" s="57">
        <v>0.05</v>
      </c>
      <c r="Z20" t="s">
        <v>2564</v>
      </c>
      <c r="AA20" t="s">
        <v>2565</v>
      </c>
    </row>
    <row r="21" spans="1:27" x14ac:dyDescent="0.3">
      <c r="A21" s="5" t="s">
        <v>195</v>
      </c>
      <c r="B21" s="5" t="s">
        <v>196</v>
      </c>
      <c r="C21" s="5" t="s">
        <v>8</v>
      </c>
      <c r="D21" s="5" t="s">
        <v>55</v>
      </c>
      <c r="E21" s="5" t="s">
        <v>117</v>
      </c>
      <c r="F21" s="5" t="s">
        <v>118</v>
      </c>
      <c r="G21" s="5" t="s">
        <v>134</v>
      </c>
      <c r="H21" s="6">
        <v>46283</v>
      </c>
      <c r="I21" s="6">
        <v>46285</v>
      </c>
      <c r="J21" s="6">
        <v>46285</v>
      </c>
      <c r="K21" s="5" t="s">
        <v>138</v>
      </c>
      <c r="L21" s="5" t="s">
        <v>139</v>
      </c>
      <c r="M21" s="5" t="s">
        <v>2574</v>
      </c>
      <c r="N21" s="5"/>
      <c r="O21" s="5" t="s">
        <v>345</v>
      </c>
      <c r="P21" s="57"/>
      <c r="U21" t="s">
        <v>1127</v>
      </c>
      <c r="V21" t="s">
        <v>2574</v>
      </c>
      <c r="X21" t="s">
        <v>2572</v>
      </c>
      <c r="Y21" s="57">
        <v>0.16</v>
      </c>
      <c r="Z21" t="s">
        <v>2567</v>
      </c>
      <c r="AA21" t="s">
        <v>2565</v>
      </c>
    </row>
    <row r="22" spans="1:27" x14ac:dyDescent="0.3">
      <c r="A22" s="5" t="s">
        <v>197</v>
      </c>
      <c r="B22" s="5" t="s">
        <v>198</v>
      </c>
      <c r="C22" s="5" t="s">
        <v>9</v>
      </c>
      <c r="D22" s="5" t="s">
        <v>66</v>
      </c>
      <c r="E22" s="5" t="s">
        <v>117</v>
      </c>
      <c r="F22" s="5" t="s">
        <v>118</v>
      </c>
      <c r="G22" s="5" t="s">
        <v>134</v>
      </c>
      <c r="H22" s="6">
        <v>46281</v>
      </c>
      <c r="I22" s="6">
        <v>46283</v>
      </c>
      <c r="J22" s="6">
        <v>46283</v>
      </c>
      <c r="K22" s="5" t="s">
        <v>192</v>
      </c>
      <c r="L22" s="5" t="s">
        <v>193</v>
      </c>
      <c r="M22" s="5" t="s">
        <v>2574</v>
      </c>
      <c r="N22" s="5" t="s">
        <v>123</v>
      </c>
      <c r="O22" s="5" t="s">
        <v>199</v>
      </c>
      <c r="P22" s="57"/>
      <c r="U22" t="s">
        <v>1130</v>
      </c>
      <c r="V22" t="s">
        <v>2574</v>
      </c>
      <c r="W22" t="s">
        <v>190</v>
      </c>
      <c r="X22" t="s">
        <v>2572</v>
      </c>
      <c r="Y22" s="57">
        <v>0.04</v>
      </c>
      <c r="Z22" t="s">
        <v>2568</v>
      </c>
      <c r="AA22" t="s">
        <v>2565</v>
      </c>
    </row>
    <row r="23" spans="1:27" x14ac:dyDescent="0.3">
      <c r="A23" s="5" t="s">
        <v>200</v>
      </c>
      <c r="B23" s="5" t="s">
        <v>201</v>
      </c>
      <c r="C23" s="5" t="s">
        <v>10</v>
      </c>
      <c r="D23" s="5" t="s">
        <v>75</v>
      </c>
      <c r="E23" s="5" t="s">
        <v>127</v>
      </c>
      <c r="F23" s="5" t="s">
        <v>118</v>
      </c>
      <c r="G23" s="5" t="s">
        <v>134</v>
      </c>
      <c r="H23" s="6">
        <v>46258</v>
      </c>
      <c r="I23" s="6">
        <v>46260</v>
      </c>
      <c r="J23" s="6">
        <v>46261</v>
      </c>
      <c r="K23" s="5" t="s">
        <v>173</v>
      </c>
      <c r="L23" s="5" t="s">
        <v>144</v>
      </c>
      <c r="M23" s="5" t="s">
        <v>2571</v>
      </c>
      <c r="N23" s="5" t="s">
        <v>123</v>
      </c>
      <c r="O23" s="5" t="s">
        <v>180</v>
      </c>
      <c r="P23" s="57">
        <v>0.28000000000000003</v>
      </c>
      <c r="Q23" t="s">
        <v>1917</v>
      </c>
      <c r="U23" t="s">
        <v>1133</v>
      </c>
      <c r="V23" t="s">
        <v>2571</v>
      </c>
      <c r="X23" t="s">
        <v>2572</v>
      </c>
      <c r="Y23" s="57">
        <v>0.32</v>
      </c>
      <c r="Z23" t="s">
        <v>2569</v>
      </c>
      <c r="AA23" t="s">
        <v>2563</v>
      </c>
    </row>
    <row r="24" spans="1:27" x14ac:dyDescent="0.3">
      <c r="A24" s="5" t="s">
        <v>202</v>
      </c>
      <c r="B24" s="5" t="s">
        <v>203</v>
      </c>
      <c r="C24" s="5" t="s">
        <v>11</v>
      </c>
      <c r="D24" s="5" t="s">
        <v>88</v>
      </c>
      <c r="E24" s="5" t="s">
        <v>127</v>
      </c>
      <c r="F24" s="5" t="s">
        <v>128</v>
      </c>
      <c r="G24" s="5" t="s">
        <v>129</v>
      </c>
      <c r="H24" s="6">
        <v>46297</v>
      </c>
      <c r="I24" s="6">
        <v>46299</v>
      </c>
      <c r="J24" s="6">
        <v>46300</v>
      </c>
      <c r="K24" s="5" t="s">
        <v>204</v>
      </c>
      <c r="L24" s="5" t="s">
        <v>205</v>
      </c>
      <c r="M24" s="5" t="s">
        <v>2574</v>
      </c>
      <c r="N24" s="5" t="s">
        <v>123</v>
      </c>
      <c r="O24" s="5" t="s">
        <v>206</v>
      </c>
      <c r="P24" s="57"/>
      <c r="U24" t="s">
        <v>940</v>
      </c>
      <c r="V24" t="s">
        <v>2574</v>
      </c>
      <c r="X24" t="s">
        <v>2572</v>
      </c>
      <c r="Y24" s="57">
        <v>0.05</v>
      </c>
      <c r="Z24" t="s">
        <v>2570</v>
      </c>
      <c r="AA24" t="s">
        <v>2563</v>
      </c>
    </row>
    <row r="25" spans="1:27" x14ac:dyDescent="0.3">
      <c r="A25" s="5" t="s">
        <v>207</v>
      </c>
      <c r="B25" s="5" t="s">
        <v>208</v>
      </c>
      <c r="C25" s="5" t="s">
        <v>12</v>
      </c>
      <c r="D25" s="5" t="s">
        <v>97</v>
      </c>
      <c r="E25" s="5" t="s">
        <v>117</v>
      </c>
      <c r="F25" s="5" t="s">
        <v>118</v>
      </c>
      <c r="G25" s="5" t="s">
        <v>134</v>
      </c>
      <c r="H25" s="6">
        <v>46301</v>
      </c>
      <c r="I25" s="6">
        <v>46303</v>
      </c>
      <c r="J25" s="6">
        <v>46303</v>
      </c>
      <c r="K25" s="5" t="s">
        <v>155</v>
      </c>
      <c r="L25" s="5" t="s">
        <v>156</v>
      </c>
      <c r="M25" s="5" t="s">
        <v>2574</v>
      </c>
      <c r="N25" s="5"/>
      <c r="O25" s="5" t="s">
        <v>346</v>
      </c>
      <c r="P25" s="57"/>
      <c r="U25" t="s">
        <v>946</v>
      </c>
      <c r="V25" t="s">
        <v>2574</v>
      </c>
      <c r="X25" t="s">
        <v>2572</v>
      </c>
      <c r="Y25" s="57">
        <v>0.04</v>
      </c>
      <c r="Z25" t="s">
        <v>2573</v>
      </c>
      <c r="AA25" t="s">
        <v>2565</v>
      </c>
    </row>
    <row r="26" spans="1:27" x14ac:dyDescent="0.3">
      <c r="A26" s="5" t="s">
        <v>209</v>
      </c>
      <c r="B26" s="5" t="s">
        <v>210</v>
      </c>
      <c r="C26" s="5" t="s">
        <v>5</v>
      </c>
      <c r="D26" s="5" t="s">
        <v>17</v>
      </c>
      <c r="E26" s="5" t="s">
        <v>127</v>
      </c>
      <c r="F26" s="5" t="s">
        <v>127</v>
      </c>
      <c r="G26" s="5" t="s">
        <v>134</v>
      </c>
      <c r="H26" s="6">
        <v>46305</v>
      </c>
      <c r="I26" s="6">
        <v>46307</v>
      </c>
      <c r="J26" s="6">
        <v>46308</v>
      </c>
      <c r="K26" s="5" t="s">
        <v>159</v>
      </c>
      <c r="L26" s="5" t="s">
        <v>211</v>
      </c>
      <c r="M26" s="5" t="s">
        <v>2574</v>
      </c>
      <c r="N26" s="5"/>
      <c r="O26" s="5" t="s">
        <v>347</v>
      </c>
      <c r="P26" s="57"/>
      <c r="T26" t="s">
        <v>1941</v>
      </c>
      <c r="U26" t="s">
        <v>949</v>
      </c>
      <c r="V26" t="s">
        <v>2574</v>
      </c>
      <c r="W26" t="s">
        <v>2576</v>
      </c>
      <c r="X26" t="s">
        <v>2572</v>
      </c>
      <c r="Y26" s="57">
        <v>0.09</v>
      </c>
      <c r="Z26" t="s">
        <v>2558</v>
      </c>
      <c r="AA26" t="s">
        <v>2563</v>
      </c>
    </row>
    <row r="27" spans="1:27" x14ac:dyDescent="0.3">
      <c r="A27" s="5" t="s">
        <v>212</v>
      </c>
      <c r="B27" s="5" t="s">
        <v>213</v>
      </c>
      <c r="C27" s="5" t="s">
        <v>6</v>
      </c>
      <c r="D27" s="5" t="s">
        <v>38</v>
      </c>
      <c r="E27" s="5" t="s">
        <v>127</v>
      </c>
      <c r="F27" s="5" t="s">
        <v>118</v>
      </c>
      <c r="G27" s="5" t="s">
        <v>134</v>
      </c>
      <c r="H27" s="6">
        <v>46283</v>
      </c>
      <c r="I27" s="6">
        <v>46285</v>
      </c>
      <c r="J27" s="6">
        <v>46286</v>
      </c>
      <c r="K27" s="5" t="s">
        <v>192</v>
      </c>
      <c r="L27" s="5" t="s">
        <v>193</v>
      </c>
      <c r="M27" s="5" t="s">
        <v>2574</v>
      </c>
      <c r="N27" s="5" t="s">
        <v>123</v>
      </c>
      <c r="O27" s="5" t="s">
        <v>194</v>
      </c>
      <c r="P27" s="57"/>
      <c r="U27" t="s">
        <v>952</v>
      </c>
      <c r="V27" t="s">
        <v>2574</v>
      </c>
      <c r="X27" t="s">
        <v>2572</v>
      </c>
      <c r="Y27" s="57">
        <v>0.05</v>
      </c>
      <c r="Z27" t="s">
        <v>2562</v>
      </c>
      <c r="AA27" t="s">
        <v>2559</v>
      </c>
    </row>
    <row r="28" spans="1:27" x14ac:dyDescent="0.3">
      <c r="A28" s="5" t="s">
        <v>214</v>
      </c>
      <c r="B28" s="5" t="s">
        <v>215</v>
      </c>
      <c r="C28" s="5" t="s">
        <v>7</v>
      </c>
      <c r="D28" s="5" t="s">
        <v>43</v>
      </c>
      <c r="E28" s="5" t="s">
        <v>117</v>
      </c>
      <c r="F28" s="5" t="s">
        <v>118</v>
      </c>
      <c r="G28" s="5" t="s">
        <v>119</v>
      </c>
      <c r="H28" s="6">
        <v>46299</v>
      </c>
      <c r="I28" s="6">
        <v>46301</v>
      </c>
      <c r="J28" s="6">
        <v>46301</v>
      </c>
      <c r="K28" s="5" t="s">
        <v>204</v>
      </c>
      <c r="L28" s="5" t="s">
        <v>205</v>
      </c>
      <c r="M28" s="5" t="s">
        <v>2574</v>
      </c>
      <c r="N28" s="5" t="s">
        <v>123</v>
      </c>
      <c r="O28" s="5" t="s">
        <v>216</v>
      </c>
      <c r="P28" s="57"/>
      <c r="U28" t="s">
        <v>955</v>
      </c>
      <c r="V28" t="s">
        <v>2574</v>
      </c>
      <c r="X28" t="s">
        <v>2572</v>
      </c>
      <c r="Y28" s="57">
        <v>0.19</v>
      </c>
      <c r="Z28" t="s">
        <v>2564</v>
      </c>
      <c r="AA28" t="s">
        <v>2565</v>
      </c>
    </row>
    <row r="29" spans="1:27" x14ac:dyDescent="0.3">
      <c r="A29" s="5" t="s">
        <v>217</v>
      </c>
      <c r="B29" s="5" t="s">
        <v>218</v>
      </c>
      <c r="C29" s="5" t="s">
        <v>8</v>
      </c>
      <c r="D29" s="5" t="s">
        <v>53</v>
      </c>
      <c r="E29" s="5" t="s">
        <v>163</v>
      </c>
      <c r="F29" s="5" t="s">
        <v>128</v>
      </c>
      <c r="G29" s="5" t="s">
        <v>142</v>
      </c>
      <c r="H29" s="6">
        <v>46316</v>
      </c>
      <c r="I29" s="6">
        <v>46319</v>
      </c>
      <c r="J29" s="6">
        <v>46321</v>
      </c>
      <c r="K29" s="5" t="s">
        <v>138</v>
      </c>
      <c r="L29" s="5" t="s">
        <v>139</v>
      </c>
      <c r="M29" s="5" t="s">
        <v>2574</v>
      </c>
      <c r="N29" s="5"/>
      <c r="O29" s="5" t="s">
        <v>348</v>
      </c>
      <c r="P29" s="57"/>
      <c r="U29" t="s">
        <v>958</v>
      </c>
      <c r="V29" t="s">
        <v>2574</v>
      </c>
      <c r="X29" t="s">
        <v>2572</v>
      </c>
      <c r="Y29" s="57">
        <v>0.02</v>
      </c>
      <c r="Z29" t="s">
        <v>2567</v>
      </c>
      <c r="AA29" t="s">
        <v>2563</v>
      </c>
    </row>
    <row r="30" spans="1:27" x14ac:dyDescent="0.3">
      <c r="A30" s="5" t="s">
        <v>219</v>
      </c>
      <c r="B30" s="5" t="s">
        <v>220</v>
      </c>
      <c r="C30" s="5" t="s">
        <v>9</v>
      </c>
      <c r="D30" s="5" t="s">
        <v>70</v>
      </c>
      <c r="E30" s="5" t="s">
        <v>127</v>
      </c>
      <c r="F30" s="5" t="s">
        <v>127</v>
      </c>
      <c r="G30" s="5" t="s">
        <v>142</v>
      </c>
      <c r="H30" s="6">
        <v>46324</v>
      </c>
      <c r="I30" s="6">
        <v>46326</v>
      </c>
      <c r="J30" s="6">
        <v>46327</v>
      </c>
      <c r="K30" s="5" t="s">
        <v>173</v>
      </c>
      <c r="L30" s="5" t="s">
        <v>144</v>
      </c>
      <c r="M30" s="5" t="s">
        <v>2574</v>
      </c>
      <c r="N30" s="5"/>
      <c r="O30" s="5" t="s">
        <v>349</v>
      </c>
      <c r="P30" s="57"/>
      <c r="U30" t="s">
        <v>1109</v>
      </c>
      <c r="V30" t="s">
        <v>2574</v>
      </c>
      <c r="W30" t="s">
        <v>214</v>
      </c>
      <c r="X30" t="s">
        <v>2572</v>
      </c>
      <c r="Y30" s="57">
        <v>0.01</v>
      </c>
      <c r="Z30" t="s">
        <v>2568</v>
      </c>
      <c r="AA30" t="s">
        <v>2563</v>
      </c>
    </row>
    <row r="31" spans="1:27" x14ac:dyDescent="0.3">
      <c r="A31" s="5" t="s">
        <v>221</v>
      </c>
      <c r="B31" s="5" t="s">
        <v>222</v>
      </c>
      <c r="C31" s="5" t="s">
        <v>10</v>
      </c>
      <c r="D31" s="5" t="s">
        <v>80</v>
      </c>
      <c r="E31" s="5" t="s">
        <v>127</v>
      </c>
      <c r="F31" s="5" t="s">
        <v>128</v>
      </c>
      <c r="G31" s="5" t="s">
        <v>142</v>
      </c>
      <c r="H31" s="6">
        <v>46328</v>
      </c>
      <c r="I31" s="6">
        <v>46330</v>
      </c>
      <c r="J31" s="6">
        <v>46331</v>
      </c>
      <c r="K31" s="5" t="s">
        <v>223</v>
      </c>
      <c r="L31" s="5" t="s">
        <v>149</v>
      </c>
      <c r="M31" s="5" t="s">
        <v>2574</v>
      </c>
      <c r="N31" s="5"/>
      <c r="O31" s="5" t="s">
        <v>350</v>
      </c>
      <c r="P31" s="57"/>
      <c r="U31" t="s">
        <v>1115</v>
      </c>
      <c r="V31" t="s">
        <v>2574</v>
      </c>
      <c r="X31" t="s">
        <v>2572</v>
      </c>
      <c r="Y31" s="57">
        <v>0.11</v>
      </c>
      <c r="Z31" t="s">
        <v>2569</v>
      </c>
      <c r="AA31" t="s">
        <v>2563</v>
      </c>
    </row>
    <row r="32" spans="1:27" x14ac:dyDescent="0.3">
      <c r="A32" s="5" t="s">
        <v>224</v>
      </c>
      <c r="B32" s="5" t="s">
        <v>225</v>
      </c>
      <c r="C32" s="5" t="s">
        <v>11</v>
      </c>
      <c r="D32" s="5" t="s">
        <v>84</v>
      </c>
      <c r="E32" s="5" t="s">
        <v>117</v>
      </c>
      <c r="F32" s="5" t="s">
        <v>118</v>
      </c>
      <c r="G32" s="5" t="s">
        <v>134</v>
      </c>
      <c r="H32" s="6">
        <v>46332</v>
      </c>
      <c r="I32" s="6">
        <v>46334</v>
      </c>
      <c r="J32" s="6">
        <v>46334</v>
      </c>
      <c r="K32" s="5" t="s">
        <v>204</v>
      </c>
      <c r="L32" s="5" t="s">
        <v>205</v>
      </c>
      <c r="M32" s="5" t="s">
        <v>2574</v>
      </c>
      <c r="N32" s="5"/>
      <c r="O32" s="5" t="s">
        <v>351</v>
      </c>
      <c r="P32" s="57"/>
      <c r="T32" t="s">
        <v>1942</v>
      </c>
      <c r="U32" t="s">
        <v>1118</v>
      </c>
      <c r="V32" t="s">
        <v>2574</v>
      </c>
      <c r="X32" t="s">
        <v>2572</v>
      </c>
      <c r="Y32" s="57">
        <v>0.05</v>
      </c>
      <c r="Z32" t="s">
        <v>2570</v>
      </c>
      <c r="AA32" t="s">
        <v>2559</v>
      </c>
    </row>
    <row r="33" spans="1:27" x14ac:dyDescent="0.3">
      <c r="A33" s="5" t="s">
        <v>226</v>
      </c>
      <c r="B33" s="5" t="s">
        <v>227</v>
      </c>
      <c r="C33" s="5" t="s">
        <v>12</v>
      </c>
      <c r="D33" s="5" t="s">
        <v>93</v>
      </c>
      <c r="E33" s="5" t="s">
        <v>117</v>
      </c>
      <c r="F33" s="5" t="s">
        <v>118</v>
      </c>
      <c r="G33" s="5" t="s">
        <v>119</v>
      </c>
      <c r="H33" s="6">
        <v>46336</v>
      </c>
      <c r="I33" s="6">
        <v>46338</v>
      </c>
      <c r="J33" s="6">
        <v>46338</v>
      </c>
      <c r="K33" s="5" t="s">
        <v>155</v>
      </c>
      <c r="L33" s="5" t="s">
        <v>156</v>
      </c>
      <c r="M33" s="5" t="s">
        <v>2574</v>
      </c>
      <c r="N33" s="5"/>
      <c r="O33" s="5" t="s">
        <v>341</v>
      </c>
      <c r="P33" s="57"/>
      <c r="U33" t="s">
        <v>1121</v>
      </c>
      <c r="V33" t="s">
        <v>2574</v>
      </c>
      <c r="X33" t="s">
        <v>2572</v>
      </c>
      <c r="Y33" s="57">
        <v>0.04</v>
      </c>
      <c r="Z33" t="s">
        <v>2573</v>
      </c>
      <c r="AA33" t="s">
        <v>2565</v>
      </c>
    </row>
    <row r="34" spans="1:27" x14ac:dyDescent="0.3">
      <c r="A34" s="5" t="s">
        <v>228</v>
      </c>
      <c r="B34" s="5" t="s">
        <v>229</v>
      </c>
      <c r="C34" s="5" t="s">
        <v>5</v>
      </c>
      <c r="D34" s="5" t="s">
        <v>15</v>
      </c>
      <c r="E34" s="5" t="s">
        <v>163</v>
      </c>
      <c r="F34" s="5" t="s">
        <v>127</v>
      </c>
      <c r="G34" s="5" t="s">
        <v>142</v>
      </c>
      <c r="H34" s="6">
        <v>46339</v>
      </c>
      <c r="I34" s="6">
        <v>46342</v>
      </c>
      <c r="J34" s="6">
        <v>46344</v>
      </c>
      <c r="K34" s="5" t="s">
        <v>120</v>
      </c>
      <c r="L34" s="5" t="s">
        <v>121</v>
      </c>
      <c r="M34" s="5" t="s">
        <v>2574</v>
      </c>
      <c r="N34" s="5"/>
      <c r="O34" s="5" t="s">
        <v>349</v>
      </c>
      <c r="P34" s="57"/>
      <c r="U34" t="s">
        <v>1124</v>
      </c>
      <c r="V34" t="s">
        <v>2574</v>
      </c>
      <c r="W34" t="s">
        <v>2577</v>
      </c>
      <c r="X34" t="s">
        <v>2572</v>
      </c>
      <c r="Y34" s="57">
        <v>0.06</v>
      </c>
      <c r="Z34" t="s">
        <v>2558</v>
      </c>
      <c r="AA34" t="s">
        <v>2563</v>
      </c>
    </row>
    <row r="35" spans="1:27" x14ac:dyDescent="0.3">
      <c r="A35" s="5" t="s">
        <v>230</v>
      </c>
      <c r="B35" s="5" t="s">
        <v>231</v>
      </c>
      <c r="C35" s="5" t="s">
        <v>6</v>
      </c>
      <c r="D35" s="5" t="s">
        <v>36</v>
      </c>
      <c r="E35" s="5" t="s">
        <v>127</v>
      </c>
      <c r="F35" s="5" t="s">
        <v>118</v>
      </c>
      <c r="G35" s="5" t="s">
        <v>134</v>
      </c>
      <c r="H35" s="6">
        <v>46344</v>
      </c>
      <c r="I35" s="6">
        <v>46346</v>
      </c>
      <c r="J35" s="6">
        <v>46347</v>
      </c>
      <c r="K35" s="5" t="s">
        <v>130</v>
      </c>
      <c r="L35" s="5" t="s">
        <v>131</v>
      </c>
      <c r="M35" s="5" t="s">
        <v>2574</v>
      </c>
      <c r="N35" s="5"/>
      <c r="O35" s="5" t="s">
        <v>339</v>
      </c>
      <c r="P35" s="57"/>
      <c r="U35" t="s">
        <v>1127</v>
      </c>
      <c r="V35" t="s">
        <v>2574</v>
      </c>
      <c r="X35" t="s">
        <v>2572</v>
      </c>
      <c r="Y35" s="57">
        <v>0.11</v>
      </c>
      <c r="Z35" t="s">
        <v>2562</v>
      </c>
      <c r="AA35" t="s">
        <v>2559</v>
      </c>
    </row>
    <row r="36" spans="1:27" x14ac:dyDescent="0.3">
      <c r="A36" s="5" t="s">
        <v>232</v>
      </c>
      <c r="B36" s="5" t="s">
        <v>233</v>
      </c>
      <c r="C36" s="5" t="s">
        <v>7</v>
      </c>
      <c r="D36" s="5" t="s">
        <v>44</v>
      </c>
      <c r="E36" s="5" t="s">
        <v>117</v>
      </c>
      <c r="F36" s="5" t="s">
        <v>127</v>
      </c>
      <c r="G36" s="5" t="s">
        <v>142</v>
      </c>
      <c r="H36" s="6">
        <v>46348</v>
      </c>
      <c r="I36" s="6">
        <v>46350</v>
      </c>
      <c r="J36" s="6">
        <v>46350</v>
      </c>
      <c r="K36" s="5" t="s">
        <v>192</v>
      </c>
      <c r="L36" s="5" t="s">
        <v>193</v>
      </c>
      <c r="M36" s="5" t="s">
        <v>2574</v>
      </c>
      <c r="N36" s="5"/>
      <c r="O36" s="5" t="s">
        <v>343</v>
      </c>
      <c r="P36" s="57"/>
      <c r="U36" t="s">
        <v>1130</v>
      </c>
      <c r="V36" t="s">
        <v>2574</v>
      </c>
      <c r="X36" t="s">
        <v>2572</v>
      </c>
      <c r="Y36" s="57">
        <v>0.04</v>
      </c>
      <c r="Z36" t="s">
        <v>2564</v>
      </c>
      <c r="AA36" t="s">
        <v>2565</v>
      </c>
    </row>
    <row r="37" spans="1:27" x14ac:dyDescent="0.3">
      <c r="A37" s="5" t="s">
        <v>234</v>
      </c>
      <c r="B37" s="5" t="s">
        <v>235</v>
      </c>
      <c r="C37" s="5" t="s">
        <v>8</v>
      </c>
      <c r="D37" s="5" t="s">
        <v>59</v>
      </c>
      <c r="E37" s="5" t="s">
        <v>117</v>
      </c>
      <c r="F37" s="5" t="s">
        <v>118</v>
      </c>
      <c r="G37" s="5" t="s">
        <v>134</v>
      </c>
      <c r="H37" s="6">
        <v>46354</v>
      </c>
      <c r="I37" s="6">
        <v>46356</v>
      </c>
      <c r="J37" s="6">
        <v>46356</v>
      </c>
      <c r="K37" s="5" t="s">
        <v>138</v>
      </c>
      <c r="L37" s="5" t="s">
        <v>139</v>
      </c>
      <c r="M37" s="5" t="s">
        <v>2574</v>
      </c>
      <c r="N37" s="5"/>
      <c r="O37" s="5" t="s">
        <v>342</v>
      </c>
      <c r="P37" s="57"/>
      <c r="U37" t="s">
        <v>1133</v>
      </c>
      <c r="V37" t="s">
        <v>2574</v>
      </c>
      <c r="X37" t="s">
        <v>2572</v>
      </c>
      <c r="Y37" s="57">
        <v>0.02</v>
      </c>
      <c r="Z37" t="s">
        <v>2567</v>
      </c>
      <c r="AA37" t="s">
        <v>2559</v>
      </c>
    </row>
    <row r="38" spans="1:27" x14ac:dyDescent="0.3">
      <c r="A38" s="5" t="s">
        <v>236</v>
      </c>
      <c r="B38" s="5" t="s">
        <v>237</v>
      </c>
      <c r="C38" s="5" t="s">
        <v>9</v>
      </c>
      <c r="D38" s="5" t="s">
        <v>67</v>
      </c>
      <c r="E38" s="5" t="s">
        <v>163</v>
      </c>
      <c r="F38" s="5" t="s">
        <v>128</v>
      </c>
      <c r="G38" s="5" t="s">
        <v>129</v>
      </c>
      <c r="H38" s="6">
        <v>46357</v>
      </c>
      <c r="I38" s="6">
        <v>46360</v>
      </c>
      <c r="J38" s="6">
        <v>46362</v>
      </c>
      <c r="K38" s="5" t="s">
        <v>173</v>
      </c>
      <c r="L38" s="5" t="s">
        <v>238</v>
      </c>
      <c r="M38" s="5" t="s">
        <v>2574</v>
      </c>
      <c r="N38" s="5"/>
      <c r="O38" s="5" t="s">
        <v>352</v>
      </c>
      <c r="P38" s="57"/>
      <c r="U38" t="s">
        <v>940</v>
      </c>
      <c r="V38" t="s">
        <v>2574</v>
      </c>
      <c r="W38" t="s">
        <v>232</v>
      </c>
      <c r="X38" t="s">
        <v>2572</v>
      </c>
      <c r="Y38" s="57">
        <v>0.1</v>
      </c>
      <c r="Z38" t="s">
        <v>2568</v>
      </c>
      <c r="AA38" t="s">
        <v>2563</v>
      </c>
    </row>
    <row r="39" spans="1:27" x14ac:dyDescent="0.3">
      <c r="A39" s="5" t="s">
        <v>239</v>
      </c>
      <c r="B39" s="5" t="s">
        <v>240</v>
      </c>
      <c r="C39" s="5" t="s">
        <v>10</v>
      </c>
      <c r="D39" s="5" t="s">
        <v>74</v>
      </c>
      <c r="E39" s="5" t="s">
        <v>117</v>
      </c>
      <c r="F39" s="5" t="s">
        <v>118</v>
      </c>
      <c r="G39" s="5" t="s">
        <v>134</v>
      </c>
      <c r="H39" s="6">
        <v>46362</v>
      </c>
      <c r="I39" s="6">
        <v>46364</v>
      </c>
      <c r="J39" s="6">
        <v>46364</v>
      </c>
      <c r="K39" s="5" t="s">
        <v>223</v>
      </c>
      <c r="L39" s="5" t="s">
        <v>241</v>
      </c>
      <c r="M39" s="5" t="s">
        <v>2574</v>
      </c>
      <c r="N39" s="5"/>
      <c r="O39" s="5" t="s">
        <v>350</v>
      </c>
      <c r="P39" s="57"/>
      <c r="U39" t="s">
        <v>946</v>
      </c>
      <c r="V39" t="s">
        <v>2574</v>
      </c>
      <c r="X39" t="s">
        <v>2572</v>
      </c>
      <c r="Y39" s="57">
        <v>0.03</v>
      </c>
      <c r="Z39" t="s">
        <v>2569</v>
      </c>
      <c r="AA39" t="s">
        <v>2559</v>
      </c>
    </row>
    <row r="40" spans="1:27" x14ac:dyDescent="0.3">
      <c r="A40" s="5" t="s">
        <v>242</v>
      </c>
      <c r="B40" s="5" t="s">
        <v>243</v>
      </c>
      <c r="C40" s="5" t="s">
        <v>11</v>
      </c>
      <c r="D40" s="5" t="s">
        <v>90</v>
      </c>
      <c r="E40" s="5" t="s">
        <v>163</v>
      </c>
      <c r="F40" s="5" t="s">
        <v>128</v>
      </c>
      <c r="G40" s="5" t="s">
        <v>129</v>
      </c>
      <c r="H40" s="6">
        <v>46365</v>
      </c>
      <c r="I40" s="6">
        <v>46368</v>
      </c>
      <c r="J40" s="6">
        <v>46370</v>
      </c>
      <c r="K40" s="5" t="s">
        <v>244</v>
      </c>
      <c r="L40" s="5" t="s">
        <v>245</v>
      </c>
      <c r="M40" s="5" t="s">
        <v>2574</v>
      </c>
      <c r="N40" s="5"/>
      <c r="O40" s="5" t="s">
        <v>345</v>
      </c>
      <c r="P40" s="57"/>
      <c r="U40" t="s">
        <v>949</v>
      </c>
      <c r="V40" t="s">
        <v>2574</v>
      </c>
      <c r="X40" t="s">
        <v>2572</v>
      </c>
      <c r="Y40" s="57">
        <v>0.03</v>
      </c>
      <c r="Z40" t="s">
        <v>2570</v>
      </c>
      <c r="AA40" t="s">
        <v>2563</v>
      </c>
    </row>
    <row r="41" spans="1:27" x14ac:dyDescent="0.3">
      <c r="A41" s="5" t="s">
        <v>246</v>
      </c>
      <c r="B41" s="5" t="s">
        <v>247</v>
      </c>
      <c r="C41" s="5" t="s">
        <v>12</v>
      </c>
      <c r="D41" s="5" t="s">
        <v>94</v>
      </c>
      <c r="E41" s="5" t="s">
        <v>117</v>
      </c>
      <c r="F41" s="5" t="s">
        <v>118</v>
      </c>
      <c r="G41" s="5" t="s">
        <v>119</v>
      </c>
      <c r="H41" s="6">
        <v>46370</v>
      </c>
      <c r="I41" s="6">
        <v>46372</v>
      </c>
      <c r="J41" s="6">
        <v>46372</v>
      </c>
      <c r="K41" s="5" t="s">
        <v>248</v>
      </c>
      <c r="L41" s="5" t="s">
        <v>156</v>
      </c>
      <c r="M41" s="5" t="s">
        <v>2574</v>
      </c>
      <c r="N41" s="5"/>
      <c r="O41" s="5" t="s">
        <v>348</v>
      </c>
      <c r="P41" s="57"/>
      <c r="S41" t="s">
        <v>1939</v>
      </c>
      <c r="T41" t="s">
        <v>1940</v>
      </c>
      <c r="U41" t="s">
        <v>952</v>
      </c>
      <c r="V41" t="s">
        <v>2574</v>
      </c>
      <c r="X41" t="s">
        <v>2572</v>
      </c>
      <c r="Y41" s="57">
        <v>0.17</v>
      </c>
      <c r="Z41" t="s">
        <v>2573</v>
      </c>
      <c r="AA41" t="s">
        <v>2559</v>
      </c>
    </row>
    <row r="42" spans="1:27" x14ac:dyDescent="0.3">
      <c r="A42" s="5" t="s">
        <v>249</v>
      </c>
      <c r="B42" s="5" t="s">
        <v>250</v>
      </c>
      <c r="C42" s="5" t="s">
        <v>5</v>
      </c>
      <c r="D42" s="5" t="s">
        <v>14</v>
      </c>
      <c r="E42" s="5" t="s">
        <v>117</v>
      </c>
      <c r="F42" s="5" t="s">
        <v>118</v>
      </c>
      <c r="G42" s="5" t="s">
        <v>119</v>
      </c>
      <c r="H42" s="6">
        <v>46374</v>
      </c>
      <c r="I42" s="6">
        <v>46376</v>
      </c>
      <c r="J42" s="6">
        <v>46376</v>
      </c>
      <c r="K42" s="5" t="s">
        <v>120</v>
      </c>
      <c r="L42" s="5" t="s">
        <v>121</v>
      </c>
      <c r="M42" s="5" t="s">
        <v>2574</v>
      </c>
      <c r="N42" s="5" t="s">
        <v>123</v>
      </c>
      <c r="O42" s="5" t="s">
        <v>353</v>
      </c>
      <c r="P42" s="57"/>
      <c r="S42" t="s">
        <v>1939</v>
      </c>
      <c r="U42" t="s">
        <v>955</v>
      </c>
      <c r="V42" t="s">
        <v>2574</v>
      </c>
      <c r="W42" t="s">
        <v>2578</v>
      </c>
      <c r="X42" t="s">
        <v>2572</v>
      </c>
      <c r="Y42" s="57">
        <v>0.09</v>
      </c>
      <c r="Z42" t="s">
        <v>2558</v>
      </c>
      <c r="AA42" t="s">
        <v>2565</v>
      </c>
    </row>
    <row r="43" spans="1:27" x14ac:dyDescent="0.3">
      <c r="A43" s="5" t="s">
        <v>251</v>
      </c>
      <c r="B43" s="5" t="s">
        <v>252</v>
      </c>
      <c r="C43" s="5" t="s">
        <v>6</v>
      </c>
      <c r="D43" s="5" t="s">
        <v>34</v>
      </c>
      <c r="E43" s="5" t="s">
        <v>127</v>
      </c>
      <c r="F43" s="5" t="s">
        <v>127</v>
      </c>
      <c r="G43" s="5" t="s">
        <v>142</v>
      </c>
      <c r="H43" s="6">
        <v>46378</v>
      </c>
      <c r="I43" s="6">
        <v>46380</v>
      </c>
      <c r="J43" s="6">
        <v>46381</v>
      </c>
      <c r="K43" s="5" t="s">
        <v>130</v>
      </c>
      <c r="L43" s="5" t="s">
        <v>131</v>
      </c>
      <c r="M43" s="5" t="s">
        <v>2574</v>
      </c>
      <c r="N43" s="5"/>
      <c r="O43" s="5" t="s">
        <v>339</v>
      </c>
      <c r="P43" s="57"/>
      <c r="R43" t="s">
        <v>1937</v>
      </c>
      <c r="S43" t="s">
        <v>1939</v>
      </c>
      <c r="U43" t="s">
        <v>958</v>
      </c>
      <c r="V43" t="s">
        <v>2574</v>
      </c>
      <c r="X43" t="s">
        <v>2572</v>
      </c>
      <c r="Y43" s="57">
        <v>0.06</v>
      </c>
      <c r="Z43" t="s">
        <v>2562</v>
      </c>
      <c r="AA43" t="s">
        <v>2559</v>
      </c>
    </row>
    <row r="44" spans="1:27" x14ac:dyDescent="0.3">
      <c r="A44" s="5" t="s">
        <v>253</v>
      </c>
      <c r="B44" s="5" t="s">
        <v>254</v>
      </c>
      <c r="C44" s="5" t="s">
        <v>7</v>
      </c>
      <c r="D44" s="5" t="s">
        <v>45</v>
      </c>
      <c r="E44" s="5" t="s">
        <v>127</v>
      </c>
      <c r="F44" s="5" t="s">
        <v>127</v>
      </c>
      <c r="G44" s="5" t="s">
        <v>142</v>
      </c>
      <c r="H44" s="6">
        <v>46377</v>
      </c>
      <c r="I44" s="6">
        <v>46379</v>
      </c>
      <c r="J44" s="6">
        <v>46380</v>
      </c>
      <c r="K44" s="5" t="s">
        <v>120</v>
      </c>
      <c r="L44" s="5" t="s">
        <v>121</v>
      </c>
      <c r="M44" s="5" t="s">
        <v>2574</v>
      </c>
      <c r="N44" s="5" t="s">
        <v>123</v>
      </c>
      <c r="O44" s="5" t="s">
        <v>354</v>
      </c>
      <c r="P44" s="57"/>
      <c r="S44" t="s">
        <v>1939</v>
      </c>
      <c r="U44" t="s">
        <v>1109</v>
      </c>
      <c r="V44" t="s">
        <v>2574</v>
      </c>
      <c r="X44" t="s">
        <v>2572</v>
      </c>
      <c r="Y44" s="57">
        <v>0.16</v>
      </c>
      <c r="Z44" t="s">
        <v>2564</v>
      </c>
      <c r="AA44" t="s">
        <v>2559</v>
      </c>
    </row>
    <row r="45" spans="1:27" x14ac:dyDescent="0.3">
      <c r="A45" s="5" t="s">
        <v>255</v>
      </c>
      <c r="B45" s="5" t="s">
        <v>256</v>
      </c>
      <c r="C45" s="5" t="s">
        <v>8</v>
      </c>
      <c r="D45" s="5" t="s">
        <v>54</v>
      </c>
      <c r="E45" s="5" t="s">
        <v>127</v>
      </c>
      <c r="F45" s="5" t="s">
        <v>128</v>
      </c>
      <c r="G45" s="5" t="s">
        <v>142</v>
      </c>
      <c r="H45" s="6">
        <v>46389</v>
      </c>
      <c r="I45" s="6">
        <v>46391</v>
      </c>
      <c r="J45" s="6">
        <v>46392</v>
      </c>
      <c r="K45" s="5" t="s">
        <v>257</v>
      </c>
      <c r="L45" s="5" t="s">
        <v>139</v>
      </c>
      <c r="M45" s="5" t="s">
        <v>2574</v>
      </c>
      <c r="N45" s="5"/>
      <c r="O45" s="5" t="s">
        <v>355</v>
      </c>
      <c r="P45" s="57"/>
      <c r="S45" t="s">
        <v>1939</v>
      </c>
      <c r="U45" t="s">
        <v>1115</v>
      </c>
      <c r="V45" t="s">
        <v>2574</v>
      </c>
      <c r="X45" t="s">
        <v>2572</v>
      </c>
      <c r="Y45" s="57">
        <v>0.16</v>
      </c>
      <c r="Z45" t="s">
        <v>2567</v>
      </c>
      <c r="AA45" t="s">
        <v>2563</v>
      </c>
    </row>
    <row r="46" spans="1:27" x14ac:dyDescent="0.3">
      <c r="A46" s="5" t="s">
        <v>258</v>
      </c>
      <c r="B46" s="5" t="s">
        <v>259</v>
      </c>
      <c r="C46" s="5" t="s">
        <v>9</v>
      </c>
      <c r="D46" s="5" t="s">
        <v>66</v>
      </c>
      <c r="E46" s="5" t="s">
        <v>163</v>
      </c>
      <c r="F46" s="5" t="s">
        <v>128</v>
      </c>
      <c r="G46" s="5" t="s">
        <v>129</v>
      </c>
      <c r="H46" s="6">
        <v>46392</v>
      </c>
      <c r="I46" s="6">
        <v>46395</v>
      </c>
      <c r="J46" s="6">
        <v>46397</v>
      </c>
      <c r="K46" s="5" t="s">
        <v>143</v>
      </c>
      <c r="L46" s="5" t="s">
        <v>144</v>
      </c>
      <c r="M46" s="5" t="s">
        <v>2574</v>
      </c>
      <c r="N46" s="5"/>
      <c r="O46" s="5" t="s">
        <v>348</v>
      </c>
      <c r="P46" s="57"/>
      <c r="U46" t="s">
        <v>1118</v>
      </c>
      <c r="V46" t="s">
        <v>2574</v>
      </c>
      <c r="W46" t="s">
        <v>251</v>
      </c>
      <c r="X46" t="s">
        <v>2572</v>
      </c>
      <c r="Y46" s="57">
        <v>0.17</v>
      </c>
      <c r="Z46" t="s">
        <v>2568</v>
      </c>
      <c r="AA46" t="s">
        <v>2563</v>
      </c>
    </row>
    <row r="47" spans="1:27" x14ac:dyDescent="0.3">
      <c r="A47" s="5" t="s">
        <v>260</v>
      </c>
      <c r="B47" s="5" t="s">
        <v>261</v>
      </c>
      <c r="C47" s="5" t="s">
        <v>10</v>
      </c>
      <c r="D47" s="5" t="s">
        <v>74</v>
      </c>
      <c r="E47" s="5" t="s">
        <v>117</v>
      </c>
      <c r="F47" s="5" t="s">
        <v>118</v>
      </c>
      <c r="G47" s="5" t="s">
        <v>119</v>
      </c>
      <c r="H47" s="6">
        <v>46397</v>
      </c>
      <c r="I47" s="6">
        <v>46399</v>
      </c>
      <c r="J47" s="6">
        <v>46399</v>
      </c>
      <c r="K47" s="5" t="s">
        <v>262</v>
      </c>
      <c r="L47" s="5" t="s">
        <v>241</v>
      </c>
      <c r="M47" s="5" t="s">
        <v>2574</v>
      </c>
      <c r="N47" s="5"/>
      <c r="O47" s="5" t="s">
        <v>339</v>
      </c>
      <c r="P47" s="57"/>
      <c r="U47" t="s">
        <v>1121</v>
      </c>
      <c r="V47" t="s">
        <v>2574</v>
      </c>
      <c r="X47" t="s">
        <v>2572</v>
      </c>
      <c r="Y47" s="57">
        <v>0.14000000000000001</v>
      </c>
      <c r="Z47" t="s">
        <v>2569</v>
      </c>
      <c r="AA47" t="s">
        <v>2559</v>
      </c>
    </row>
    <row r="48" spans="1:27" x14ac:dyDescent="0.3">
      <c r="A48" s="5" t="s">
        <v>263</v>
      </c>
      <c r="B48" s="5" t="s">
        <v>264</v>
      </c>
      <c r="C48" s="5" t="s">
        <v>11</v>
      </c>
      <c r="D48" s="5" t="s">
        <v>88</v>
      </c>
      <c r="E48" s="5" t="s">
        <v>127</v>
      </c>
      <c r="F48" s="5" t="s">
        <v>127</v>
      </c>
      <c r="G48" s="5" t="s">
        <v>134</v>
      </c>
      <c r="H48" s="6">
        <v>46401</v>
      </c>
      <c r="I48" s="6">
        <v>46403</v>
      </c>
      <c r="J48" s="6">
        <v>46404</v>
      </c>
      <c r="K48" s="5" t="s">
        <v>204</v>
      </c>
      <c r="L48" s="5" t="s">
        <v>205</v>
      </c>
      <c r="M48" s="5" t="s">
        <v>2574</v>
      </c>
      <c r="N48" s="5"/>
      <c r="O48" s="5" t="s">
        <v>352</v>
      </c>
      <c r="P48" s="57"/>
      <c r="U48" t="s">
        <v>1124</v>
      </c>
      <c r="V48" t="s">
        <v>2574</v>
      </c>
      <c r="X48" t="s">
        <v>2572</v>
      </c>
      <c r="Y48" s="57">
        <v>0.1</v>
      </c>
      <c r="Z48" t="s">
        <v>2570</v>
      </c>
      <c r="AA48" t="s">
        <v>2563</v>
      </c>
    </row>
    <row r="49" spans="1:27" x14ac:dyDescent="0.3">
      <c r="A49" s="5" t="s">
        <v>265</v>
      </c>
      <c r="B49" s="5" t="s">
        <v>266</v>
      </c>
      <c r="C49" s="5" t="s">
        <v>12</v>
      </c>
      <c r="D49" s="5" t="s">
        <v>97</v>
      </c>
      <c r="E49" s="5" t="s">
        <v>117</v>
      </c>
      <c r="F49" s="5" t="s">
        <v>118</v>
      </c>
      <c r="G49" s="5" t="s">
        <v>119</v>
      </c>
      <c r="H49" s="6">
        <v>46405</v>
      </c>
      <c r="I49" s="6">
        <v>46407</v>
      </c>
      <c r="J49" s="6">
        <v>46407</v>
      </c>
      <c r="K49" s="5" t="s">
        <v>248</v>
      </c>
      <c r="L49" s="5" t="s">
        <v>267</v>
      </c>
      <c r="M49" s="5" t="s">
        <v>2574</v>
      </c>
      <c r="N49" s="5"/>
      <c r="O49" s="5" t="s">
        <v>356</v>
      </c>
      <c r="P49" s="57"/>
      <c r="U49" t="s">
        <v>1127</v>
      </c>
      <c r="V49" t="s">
        <v>2574</v>
      </c>
      <c r="X49" t="s">
        <v>2572</v>
      </c>
      <c r="Y49" s="57">
        <v>0.17</v>
      </c>
      <c r="Z49" t="s">
        <v>2573</v>
      </c>
      <c r="AA49" t="s">
        <v>2565</v>
      </c>
    </row>
    <row r="50" spans="1:27" x14ac:dyDescent="0.3">
      <c r="A50" s="5" t="s">
        <v>268</v>
      </c>
      <c r="B50" s="5" t="s">
        <v>269</v>
      </c>
      <c r="C50" s="5" t="s">
        <v>5</v>
      </c>
      <c r="D50" s="5" t="s">
        <v>14</v>
      </c>
      <c r="E50" s="5" t="s">
        <v>117</v>
      </c>
      <c r="F50" s="5" t="s">
        <v>118</v>
      </c>
      <c r="G50" s="5" t="s">
        <v>119</v>
      </c>
      <c r="H50" s="6">
        <v>46409</v>
      </c>
      <c r="I50" s="6">
        <v>46411</v>
      </c>
      <c r="J50" s="6">
        <v>46411</v>
      </c>
      <c r="K50" s="5" t="s">
        <v>270</v>
      </c>
      <c r="L50" s="5" t="s">
        <v>211</v>
      </c>
      <c r="M50" s="5" t="s">
        <v>2574</v>
      </c>
      <c r="N50" s="5"/>
      <c r="O50" s="5" t="s">
        <v>347</v>
      </c>
      <c r="P50" s="57"/>
      <c r="T50" t="s">
        <v>1941</v>
      </c>
      <c r="U50" t="s">
        <v>1130</v>
      </c>
      <c r="V50" t="s">
        <v>2574</v>
      </c>
      <c r="W50" t="s">
        <v>2579</v>
      </c>
      <c r="X50" t="s">
        <v>2572</v>
      </c>
      <c r="Y50" s="57">
        <v>0.18</v>
      </c>
      <c r="Z50" t="s">
        <v>2558</v>
      </c>
      <c r="AA50" t="s">
        <v>2565</v>
      </c>
    </row>
    <row r="51" spans="1:27" x14ac:dyDescent="0.3">
      <c r="A51" s="5" t="s">
        <v>271</v>
      </c>
      <c r="B51" s="5" t="s">
        <v>272</v>
      </c>
      <c r="C51" s="5" t="s">
        <v>6</v>
      </c>
      <c r="D51" s="5" t="s">
        <v>35</v>
      </c>
      <c r="E51" s="5" t="s">
        <v>117</v>
      </c>
      <c r="F51" s="5" t="s">
        <v>118</v>
      </c>
      <c r="G51" s="5" t="s">
        <v>119</v>
      </c>
      <c r="H51" s="6">
        <v>46416</v>
      </c>
      <c r="I51" s="6">
        <v>46418</v>
      </c>
      <c r="J51" s="6">
        <v>46418</v>
      </c>
      <c r="K51" s="5" t="s">
        <v>130</v>
      </c>
      <c r="L51" s="5" t="s">
        <v>189</v>
      </c>
      <c r="M51" s="5" t="s">
        <v>2574</v>
      </c>
      <c r="N51" s="5"/>
      <c r="O51" s="5" t="s">
        <v>351</v>
      </c>
      <c r="P51" s="57"/>
      <c r="U51" t="s">
        <v>1133</v>
      </c>
      <c r="V51" t="s">
        <v>2574</v>
      </c>
      <c r="X51" t="s">
        <v>2572</v>
      </c>
      <c r="Y51" s="57">
        <v>0</v>
      </c>
      <c r="Z51" t="s">
        <v>2562</v>
      </c>
      <c r="AA51" t="s">
        <v>2559</v>
      </c>
    </row>
    <row r="52" spans="1:27" x14ac:dyDescent="0.3">
      <c r="A52" s="5" t="s">
        <v>273</v>
      </c>
      <c r="B52" s="5" t="s">
        <v>274</v>
      </c>
      <c r="C52" s="5" t="s">
        <v>7</v>
      </c>
      <c r="D52" s="5" t="s">
        <v>47</v>
      </c>
      <c r="E52" s="5" t="s">
        <v>127</v>
      </c>
      <c r="F52" s="5" t="s">
        <v>127</v>
      </c>
      <c r="G52" s="5" t="s">
        <v>142</v>
      </c>
      <c r="H52" s="6">
        <v>46420</v>
      </c>
      <c r="I52" s="6">
        <v>46422</v>
      </c>
      <c r="J52" s="6">
        <v>46423</v>
      </c>
      <c r="K52" s="5" t="s">
        <v>275</v>
      </c>
      <c r="L52" s="5" t="s">
        <v>193</v>
      </c>
      <c r="M52" s="5" t="s">
        <v>2574</v>
      </c>
      <c r="N52" s="5"/>
      <c r="O52" s="5" t="s">
        <v>357</v>
      </c>
      <c r="P52" s="57"/>
      <c r="U52" t="s">
        <v>940</v>
      </c>
      <c r="V52" t="s">
        <v>2574</v>
      </c>
      <c r="X52" t="s">
        <v>2572</v>
      </c>
      <c r="Y52" s="57">
        <v>0.03</v>
      </c>
      <c r="Z52" t="s">
        <v>2564</v>
      </c>
      <c r="AA52" t="s">
        <v>2559</v>
      </c>
    </row>
    <row r="53" spans="1:27" x14ac:dyDescent="0.3">
      <c r="A53" s="5" t="s">
        <v>276</v>
      </c>
      <c r="B53" s="5" t="s">
        <v>277</v>
      </c>
      <c r="C53" s="5" t="s">
        <v>8</v>
      </c>
      <c r="D53" s="5" t="s">
        <v>53</v>
      </c>
      <c r="E53" s="5" t="s">
        <v>117</v>
      </c>
      <c r="F53" s="5" t="s">
        <v>118</v>
      </c>
      <c r="G53" s="5" t="s">
        <v>119</v>
      </c>
      <c r="H53" s="6">
        <v>46424</v>
      </c>
      <c r="I53" s="6">
        <v>46426</v>
      </c>
      <c r="J53" s="6">
        <v>46426</v>
      </c>
      <c r="K53" s="5" t="s">
        <v>257</v>
      </c>
      <c r="L53" s="5" t="s">
        <v>139</v>
      </c>
      <c r="M53" s="5" t="s">
        <v>2574</v>
      </c>
      <c r="N53" s="5"/>
      <c r="O53" s="5" t="s">
        <v>347</v>
      </c>
      <c r="P53" s="57"/>
      <c r="U53" t="s">
        <v>946</v>
      </c>
      <c r="V53" t="s">
        <v>2574</v>
      </c>
      <c r="X53" t="s">
        <v>2572</v>
      </c>
      <c r="Y53" s="57">
        <v>0.12</v>
      </c>
      <c r="Z53" t="s">
        <v>2567</v>
      </c>
      <c r="AA53" t="s">
        <v>2565</v>
      </c>
    </row>
    <row r="54" spans="1:27" x14ac:dyDescent="0.3">
      <c r="A54" s="5" t="s">
        <v>278</v>
      </c>
      <c r="B54" s="5" t="s">
        <v>279</v>
      </c>
      <c r="C54" s="5" t="s">
        <v>9</v>
      </c>
      <c r="D54" s="5" t="s">
        <v>66</v>
      </c>
      <c r="E54" s="5" t="s">
        <v>163</v>
      </c>
      <c r="F54" s="5" t="s">
        <v>128</v>
      </c>
      <c r="G54" s="5" t="s">
        <v>129</v>
      </c>
      <c r="H54" s="6">
        <v>46427</v>
      </c>
      <c r="I54" s="6">
        <v>46430</v>
      </c>
      <c r="J54" s="6">
        <v>46432</v>
      </c>
      <c r="K54" s="5" t="s">
        <v>173</v>
      </c>
      <c r="L54" s="5" t="s">
        <v>238</v>
      </c>
      <c r="M54" s="5" t="s">
        <v>2574</v>
      </c>
      <c r="N54" s="5"/>
      <c r="O54" s="5" t="s">
        <v>350</v>
      </c>
      <c r="P54" s="57"/>
      <c r="U54" t="s">
        <v>949</v>
      </c>
      <c r="V54" t="s">
        <v>2574</v>
      </c>
      <c r="W54" t="s">
        <v>273</v>
      </c>
      <c r="X54" t="s">
        <v>2572</v>
      </c>
      <c r="Y54" s="57">
        <v>0.06</v>
      </c>
      <c r="Z54" t="s">
        <v>2568</v>
      </c>
      <c r="AA54" t="s">
        <v>2563</v>
      </c>
    </row>
    <row r="55" spans="1:27" x14ac:dyDescent="0.3">
      <c r="A55" s="5" t="s">
        <v>280</v>
      </c>
      <c r="B55" s="5" t="s">
        <v>281</v>
      </c>
      <c r="C55" s="5" t="s">
        <v>10</v>
      </c>
      <c r="D55" s="5" t="s">
        <v>73</v>
      </c>
      <c r="E55" s="5" t="s">
        <v>163</v>
      </c>
      <c r="F55" s="5" t="s">
        <v>128</v>
      </c>
      <c r="G55" s="5" t="s">
        <v>142</v>
      </c>
      <c r="H55" s="6">
        <v>46431</v>
      </c>
      <c r="I55" s="6">
        <v>46434</v>
      </c>
      <c r="J55" s="6">
        <v>46436</v>
      </c>
      <c r="K55" s="5" t="s">
        <v>148</v>
      </c>
      <c r="L55" s="5" t="s">
        <v>149</v>
      </c>
      <c r="M55" s="5" t="s">
        <v>2574</v>
      </c>
      <c r="N55" s="5"/>
      <c r="O55" s="5" t="s">
        <v>358</v>
      </c>
      <c r="P55" s="57"/>
      <c r="U55" t="s">
        <v>952</v>
      </c>
      <c r="V55" t="s">
        <v>2574</v>
      </c>
      <c r="X55" t="s">
        <v>2572</v>
      </c>
      <c r="Y55" s="57">
        <v>0.02</v>
      </c>
      <c r="Z55" t="s">
        <v>2569</v>
      </c>
      <c r="AA55" t="s">
        <v>2563</v>
      </c>
    </row>
    <row r="56" spans="1:27" x14ac:dyDescent="0.3">
      <c r="A56" s="5" t="s">
        <v>282</v>
      </c>
      <c r="B56" s="5" t="s">
        <v>283</v>
      </c>
      <c r="C56" s="5" t="s">
        <v>11</v>
      </c>
      <c r="D56" s="5" t="s">
        <v>88</v>
      </c>
      <c r="E56" s="5" t="s">
        <v>163</v>
      </c>
      <c r="F56" s="5" t="s">
        <v>128</v>
      </c>
      <c r="G56" s="5" t="s">
        <v>129</v>
      </c>
      <c r="H56" s="6">
        <v>46435</v>
      </c>
      <c r="I56" s="6">
        <v>46438</v>
      </c>
      <c r="J56" s="6">
        <v>46440</v>
      </c>
      <c r="K56" s="5" t="s">
        <v>244</v>
      </c>
      <c r="L56" s="5" t="s">
        <v>245</v>
      </c>
      <c r="M56" s="5" t="s">
        <v>2574</v>
      </c>
      <c r="N56" s="5"/>
      <c r="O56" s="5" t="s">
        <v>359</v>
      </c>
      <c r="P56" s="57"/>
      <c r="T56" t="s">
        <v>1942</v>
      </c>
      <c r="U56" t="s">
        <v>955</v>
      </c>
      <c r="V56" t="s">
        <v>2574</v>
      </c>
      <c r="X56" t="s">
        <v>2572</v>
      </c>
      <c r="Y56" s="57">
        <v>0</v>
      </c>
      <c r="Z56" t="s">
        <v>2570</v>
      </c>
      <c r="AA56" t="s">
        <v>2563</v>
      </c>
    </row>
    <row r="57" spans="1:27" x14ac:dyDescent="0.3">
      <c r="A57" s="5" t="s">
        <v>284</v>
      </c>
      <c r="B57" s="5" t="s">
        <v>285</v>
      </c>
      <c r="C57" s="5" t="s">
        <v>12</v>
      </c>
      <c r="D57" s="5" t="s">
        <v>97</v>
      </c>
      <c r="E57" s="5" t="s">
        <v>127</v>
      </c>
      <c r="F57" s="5" t="s">
        <v>127</v>
      </c>
      <c r="G57" s="5" t="s">
        <v>142</v>
      </c>
      <c r="H57" s="6">
        <v>46440</v>
      </c>
      <c r="I57" s="6">
        <v>46442</v>
      </c>
      <c r="J57" s="6">
        <v>46443</v>
      </c>
      <c r="K57" s="5" t="s">
        <v>155</v>
      </c>
      <c r="L57" s="5" t="s">
        <v>156</v>
      </c>
      <c r="M57" s="5" t="s">
        <v>2574</v>
      </c>
      <c r="N57" s="5" t="s">
        <v>123</v>
      </c>
      <c r="O57" s="5" t="s">
        <v>360</v>
      </c>
      <c r="P57" s="57"/>
      <c r="U57" t="s">
        <v>958</v>
      </c>
      <c r="V57" t="s">
        <v>2574</v>
      </c>
      <c r="X57" t="s">
        <v>2572</v>
      </c>
      <c r="Y57" s="57">
        <v>0.17</v>
      </c>
      <c r="Z57" t="s">
        <v>2573</v>
      </c>
      <c r="AA57" t="s">
        <v>2563</v>
      </c>
    </row>
    <row r="58" spans="1:27" x14ac:dyDescent="0.3">
      <c r="A58" s="5" t="s">
        <v>286</v>
      </c>
      <c r="B58" s="5" t="s">
        <v>287</v>
      </c>
      <c r="C58" s="5" t="s">
        <v>5</v>
      </c>
      <c r="D58" s="5" t="s">
        <v>17</v>
      </c>
      <c r="E58" s="5" t="s">
        <v>127</v>
      </c>
      <c r="F58" s="5" t="s">
        <v>127</v>
      </c>
      <c r="G58" s="5" t="s">
        <v>134</v>
      </c>
      <c r="H58" s="6">
        <v>46444</v>
      </c>
      <c r="I58" s="6">
        <v>46446</v>
      </c>
      <c r="J58" s="6">
        <v>46447</v>
      </c>
      <c r="K58" s="5" t="s">
        <v>270</v>
      </c>
      <c r="L58" s="5" t="s">
        <v>121</v>
      </c>
      <c r="M58" s="5" t="s">
        <v>2574</v>
      </c>
      <c r="N58" s="5"/>
      <c r="O58" s="5" t="s">
        <v>356</v>
      </c>
      <c r="P58" s="57"/>
      <c r="U58" t="s">
        <v>1109</v>
      </c>
      <c r="V58" t="s">
        <v>2574</v>
      </c>
      <c r="W58" t="s">
        <v>2580</v>
      </c>
      <c r="X58" t="s">
        <v>2572</v>
      </c>
      <c r="Y58" s="57">
        <v>0.05</v>
      </c>
      <c r="Z58" t="s">
        <v>2558</v>
      </c>
      <c r="AA58" t="s">
        <v>2559</v>
      </c>
    </row>
    <row r="59" spans="1:27" x14ac:dyDescent="0.3">
      <c r="A59" s="5" t="s">
        <v>288</v>
      </c>
      <c r="B59" s="5" t="s">
        <v>289</v>
      </c>
      <c r="C59" s="5" t="s">
        <v>6</v>
      </c>
      <c r="D59" s="5" t="s">
        <v>36</v>
      </c>
      <c r="E59" s="5" t="s">
        <v>127</v>
      </c>
      <c r="F59" s="5" t="s">
        <v>118</v>
      </c>
      <c r="G59" s="5" t="s">
        <v>119</v>
      </c>
      <c r="H59" s="6">
        <v>46443</v>
      </c>
      <c r="I59" s="6">
        <v>46445</v>
      </c>
      <c r="J59" s="6">
        <v>46446</v>
      </c>
      <c r="K59" s="5" t="s">
        <v>155</v>
      </c>
      <c r="L59" s="5" t="s">
        <v>156</v>
      </c>
      <c r="M59" s="5" t="s">
        <v>2574</v>
      </c>
      <c r="N59" s="5" t="s">
        <v>123</v>
      </c>
      <c r="O59" s="5" t="s">
        <v>361</v>
      </c>
      <c r="P59" s="57"/>
      <c r="U59" t="s">
        <v>1115</v>
      </c>
      <c r="V59" t="s">
        <v>2574</v>
      </c>
      <c r="X59" t="s">
        <v>2572</v>
      </c>
      <c r="Y59" s="57">
        <v>7.0000000000000007E-2</v>
      </c>
      <c r="Z59" t="s">
        <v>2562</v>
      </c>
      <c r="AA59" t="s">
        <v>2563</v>
      </c>
    </row>
    <row r="60" spans="1:27" x14ac:dyDescent="0.3">
      <c r="A60" s="5" t="s">
        <v>290</v>
      </c>
      <c r="B60" s="5" t="s">
        <v>291</v>
      </c>
      <c r="C60" s="5" t="s">
        <v>7</v>
      </c>
      <c r="D60" s="5" t="s">
        <v>44</v>
      </c>
      <c r="E60" s="5" t="s">
        <v>127</v>
      </c>
      <c r="F60" s="5" t="s">
        <v>127</v>
      </c>
      <c r="G60" s="5" t="s">
        <v>134</v>
      </c>
      <c r="H60" s="6">
        <v>46452</v>
      </c>
      <c r="I60" s="6">
        <v>46454</v>
      </c>
      <c r="J60" s="6">
        <v>46455</v>
      </c>
      <c r="K60" s="5" t="s">
        <v>275</v>
      </c>
      <c r="L60" s="5" t="s">
        <v>193</v>
      </c>
      <c r="M60" s="5" t="s">
        <v>2574</v>
      </c>
      <c r="N60" s="5"/>
      <c r="O60" s="5" t="s">
        <v>345</v>
      </c>
      <c r="P60" s="57"/>
      <c r="U60" t="s">
        <v>1118</v>
      </c>
      <c r="V60" t="s">
        <v>2574</v>
      </c>
      <c r="X60" t="s">
        <v>2572</v>
      </c>
      <c r="Y60" s="57">
        <v>0</v>
      </c>
      <c r="Z60" t="s">
        <v>2564</v>
      </c>
      <c r="AA60" t="s">
        <v>2563</v>
      </c>
    </row>
    <row r="61" spans="1:27" x14ac:dyDescent="0.3">
      <c r="A61" s="5" t="s">
        <v>292</v>
      </c>
      <c r="B61" s="5" t="s">
        <v>293</v>
      </c>
      <c r="C61" s="5" t="s">
        <v>8</v>
      </c>
      <c r="D61" s="5" t="s">
        <v>59</v>
      </c>
      <c r="E61" s="5" t="s">
        <v>117</v>
      </c>
      <c r="F61" s="5" t="s">
        <v>118</v>
      </c>
      <c r="G61" s="5" t="s">
        <v>119</v>
      </c>
      <c r="H61" s="6">
        <v>46456</v>
      </c>
      <c r="I61" s="6">
        <v>46458</v>
      </c>
      <c r="J61" s="6">
        <v>46458</v>
      </c>
      <c r="K61" s="5" t="s">
        <v>294</v>
      </c>
      <c r="L61" s="5" t="s">
        <v>295</v>
      </c>
      <c r="M61" s="5" t="s">
        <v>2574</v>
      </c>
      <c r="N61" s="5"/>
      <c r="O61" s="5" t="s">
        <v>362</v>
      </c>
      <c r="P61" s="57"/>
      <c r="U61" t="s">
        <v>1121</v>
      </c>
      <c r="V61" t="s">
        <v>2574</v>
      </c>
      <c r="X61" t="s">
        <v>2572</v>
      </c>
      <c r="Y61" s="57">
        <v>0.18</v>
      </c>
      <c r="Z61" t="s">
        <v>2567</v>
      </c>
      <c r="AA61" t="s">
        <v>2565</v>
      </c>
    </row>
    <row r="62" spans="1:27" x14ac:dyDescent="0.3">
      <c r="A62" s="5" t="s">
        <v>296</v>
      </c>
      <c r="B62" s="5" t="s">
        <v>297</v>
      </c>
      <c r="C62" s="5" t="s">
        <v>9</v>
      </c>
      <c r="D62" s="5" t="s">
        <v>70</v>
      </c>
      <c r="E62" s="5" t="s">
        <v>127</v>
      </c>
      <c r="F62" s="5" t="s">
        <v>118</v>
      </c>
      <c r="G62" s="5" t="s">
        <v>119</v>
      </c>
      <c r="H62" s="6">
        <v>46460</v>
      </c>
      <c r="I62" s="6">
        <v>46462</v>
      </c>
      <c r="J62" s="6">
        <v>46463</v>
      </c>
      <c r="K62" s="5" t="s">
        <v>298</v>
      </c>
      <c r="L62" s="5" t="s">
        <v>144</v>
      </c>
      <c r="M62" s="5" t="s">
        <v>2574</v>
      </c>
      <c r="N62" s="5"/>
      <c r="O62" s="5" t="s">
        <v>345</v>
      </c>
      <c r="P62" s="57"/>
      <c r="U62" t="s">
        <v>1124</v>
      </c>
      <c r="V62" t="s">
        <v>2574</v>
      </c>
      <c r="W62" t="s">
        <v>290</v>
      </c>
      <c r="X62" t="s">
        <v>2572</v>
      </c>
      <c r="Y62" s="57">
        <v>0.12</v>
      </c>
      <c r="Z62" t="s">
        <v>2568</v>
      </c>
      <c r="AA62" t="s">
        <v>2559</v>
      </c>
    </row>
    <row r="63" spans="1:27" x14ac:dyDescent="0.3">
      <c r="A63" s="5" t="s">
        <v>299</v>
      </c>
      <c r="B63" s="5" t="s">
        <v>300</v>
      </c>
      <c r="C63" s="5" t="s">
        <v>10</v>
      </c>
      <c r="D63" s="5" t="s">
        <v>74</v>
      </c>
      <c r="E63" s="5" t="s">
        <v>117</v>
      </c>
      <c r="F63" s="5" t="s">
        <v>127</v>
      </c>
      <c r="G63" s="5" t="s">
        <v>134</v>
      </c>
      <c r="H63" s="6">
        <v>46464</v>
      </c>
      <c r="I63" s="6">
        <v>46466</v>
      </c>
      <c r="J63" s="6">
        <v>46466</v>
      </c>
      <c r="K63" s="5" t="s">
        <v>262</v>
      </c>
      <c r="L63" s="5" t="s">
        <v>241</v>
      </c>
      <c r="M63" s="5" t="s">
        <v>2574</v>
      </c>
      <c r="N63" s="5"/>
      <c r="O63" s="5" t="s">
        <v>350</v>
      </c>
      <c r="P63" s="57"/>
      <c r="U63" t="s">
        <v>1127</v>
      </c>
      <c r="V63" t="s">
        <v>2574</v>
      </c>
      <c r="X63" t="s">
        <v>2572</v>
      </c>
      <c r="Y63" s="57">
        <v>0.11</v>
      </c>
      <c r="Z63" t="s">
        <v>2569</v>
      </c>
      <c r="AA63" t="s">
        <v>2559</v>
      </c>
    </row>
    <row r="64" spans="1:27" x14ac:dyDescent="0.3">
      <c r="A64" s="5" t="s">
        <v>301</v>
      </c>
      <c r="B64" s="5" t="s">
        <v>302</v>
      </c>
      <c r="C64" s="5" t="s">
        <v>11</v>
      </c>
      <c r="D64" s="5" t="s">
        <v>84</v>
      </c>
      <c r="E64" s="5" t="s">
        <v>127</v>
      </c>
      <c r="F64" s="5" t="s">
        <v>118</v>
      </c>
      <c r="G64" s="5" t="s">
        <v>119</v>
      </c>
      <c r="H64" s="6">
        <v>46468</v>
      </c>
      <c r="I64" s="6">
        <v>46470</v>
      </c>
      <c r="J64" s="6">
        <v>46471</v>
      </c>
      <c r="K64" s="5" t="s">
        <v>303</v>
      </c>
      <c r="L64" s="5" t="s">
        <v>205</v>
      </c>
      <c r="M64" s="5" t="s">
        <v>2574</v>
      </c>
      <c r="N64" s="5"/>
      <c r="O64" s="5" t="s">
        <v>363</v>
      </c>
      <c r="P64" s="57"/>
      <c r="U64" t="s">
        <v>1130</v>
      </c>
      <c r="V64" t="s">
        <v>2574</v>
      </c>
      <c r="X64" t="s">
        <v>2572</v>
      </c>
      <c r="Y64" s="57">
        <v>0.15</v>
      </c>
      <c r="Z64" t="s">
        <v>2570</v>
      </c>
      <c r="AA64" t="s">
        <v>2559</v>
      </c>
    </row>
    <row r="65" spans="1:27" x14ac:dyDescent="0.3">
      <c r="A65" s="5" t="s">
        <v>304</v>
      </c>
      <c r="B65" s="5" t="s">
        <v>305</v>
      </c>
      <c r="C65" s="5" t="s">
        <v>12</v>
      </c>
      <c r="D65" s="5" t="s">
        <v>96</v>
      </c>
      <c r="E65" s="5" t="s">
        <v>127</v>
      </c>
      <c r="F65" s="5" t="s">
        <v>118</v>
      </c>
      <c r="G65" s="5" t="s">
        <v>119</v>
      </c>
      <c r="H65" s="6">
        <v>46475</v>
      </c>
      <c r="I65" s="6">
        <v>46477</v>
      </c>
      <c r="J65" s="6">
        <v>46478</v>
      </c>
      <c r="K65" s="5" t="s">
        <v>248</v>
      </c>
      <c r="L65" s="5" t="s">
        <v>156</v>
      </c>
      <c r="M65" s="5" t="s">
        <v>2574</v>
      </c>
      <c r="N65" s="5"/>
      <c r="O65" s="5" t="s">
        <v>352</v>
      </c>
      <c r="P65" s="57"/>
      <c r="S65" t="s">
        <v>1938</v>
      </c>
      <c r="T65" t="s">
        <v>1940</v>
      </c>
      <c r="U65" t="s">
        <v>1133</v>
      </c>
      <c r="V65" t="s">
        <v>2574</v>
      </c>
      <c r="X65" t="s">
        <v>2572</v>
      </c>
      <c r="Y65" s="57">
        <v>0.05</v>
      </c>
      <c r="Z65" t="s">
        <v>2573</v>
      </c>
      <c r="AA65" t="s">
        <v>2559</v>
      </c>
    </row>
    <row r="66" spans="1:27" x14ac:dyDescent="0.3">
      <c r="A66" s="5" t="s">
        <v>306</v>
      </c>
      <c r="B66" s="5" t="s">
        <v>307</v>
      </c>
      <c r="C66" s="5" t="s">
        <v>5</v>
      </c>
      <c r="D66" s="5" t="s">
        <v>15</v>
      </c>
      <c r="E66" s="5" t="s">
        <v>163</v>
      </c>
      <c r="F66" s="5" t="s">
        <v>128</v>
      </c>
      <c r="G66" s="5" t="s">
        <v>142</v>
      </c>
      <c r="H66" s="6">
        <v>46478</v>
      </c>
      <c r="I66" s="6">
        <v>46481</v>
      </c>
      <c r="J66" s="6">
        <v>46483</v>
      </c>
      <c r="K66" s="5" t="s">
        <v>159</v>
      </c>
      <c r="L66" s="5" t="s">
        <v>211</v>
      </c>
      <c r="M66" s="5" t="s">
        <v>2574</v>
      </c>
      <c r="N66" s="5"/>
      <c r="O66" s="5" t="s">
        <v>349</v>
      </c>
      <c r="P66" s="57"/>
      <c r="U66" t="s">
        <v>940</v>
      </c>
      <c r="V66" t="s">
        <v>2574</v>
      </c>
      <c r="W66" t="s">
        <v>2581</v>
      </c>
      <c r="X66" t="s">
        <v>2572</v>
      </c>
      <c r="Y66" s="57">
        <v>0.09</v>
      </c>
      <c r="Z66" t="s">
        <v>2558</v>
      </c>
      <c r="AA66" t="s">
        <v>2563</v>
      </c>
    </row>
    <row r="67" spans="1:27" x14ac:dyDescent="0.3">
      <c r="A67" s="5" t="s">
        <v>308</v>
      </c>
      <c r="B67" s="5" t="s">
        <v>309</v>
      </c>
      <c r="C67" s="5" t="s">
        <v>6</v>
      </c>
      <c r="D67" s="5" t="s">
        <v>34</v>
      </c>
      <c r="E67" s="5" t="s">
        <v>127</v>
      </c>
      <c r="F67" s="5" t="s">
        <v>127</v>
      </c>
      <c r="G67" s="5" t="s">
        <v>134</v>
      </c>
      <c r="H67" s="6">
        <v>46483</v>
      </c>
      <c r="I67" s="6">
        <v>46485</v>
      </c>
      <c r="J67" s="6">
        <v>46486</v>
      </c>
      <c r="K67" s="5" t="s">
        <v>310</v>
      </c>
      <c r="L67" s="5" t="s">
        <v>131</v>
      </c>
      <c r="M67" s="5" t="s">
        <v>2574</v>
      </c>
      <c r="N67" s="5" t="s">
        <v>123</v>
      </c>
      <c r="O67" s="5" t="s">
        <v>364</v>
      </c>
      <c r="P67" s="57"/>
      <c r="U67" t="s">
        <v>946</v>
      </c>
      <c r="V67" t="s">
        <v>2574</v>
      </c>
      <c r="X67" t="s">
        <v>2572</v>
      </c>
      <c r="Y67" s="57">
        <v>0.1</v>
      </c>
      <c r="Z67" t="s">
        <v>2562</v>
      </c>
      <c r="AA67" t="s">
        <v>2559</v>
      </c>
    </row>
    <row r="68" spans="1:27" x14ac:dyDescent="0.3">
      <c r="A68" s="5" t="s">
        <v>311</v>
      </c>
      <c r="B68" s="5" t="s">
        <v>312</v>
      </c>
      <c r="C68" s="5" t="s">
        <v>7</v>
      </c>
      <c r="D68" s="5" t="s">
        <v>43</v>
      </c>
      <c r="E68" s="5" t="s">
        <v>163</v>
      </c>
      <c r="F68" s="5" t="s">
        <v>128</v>
      </c>
      <c r="G68" s="5" t="s">
        <v>129</v>
      </c>
      <c r="H68" s="6">
        <v>46486</v>
      </c>
      <c r="I68" s="6">
        <v>46489</v>
      </c>
      <c r="J68" s="6">
        <v>46491</v>
      </c>
      <c r="K68" s="5" t="s">
        <v>275</v>
      </c>
      <c r="L68" s="5" t="s">
        <v>193</v>
      </c>
      <c r="M68" s="5" t="s">
        <v>2574</v>
      </c>
      <c r="N68" s="5"/>
      <c r="O68" s="5" t="s">
        <v>340</v>
      </c>
      <c r="P68" s="57"/>
      <c r="U68" t="s">
        <v>949</v>
      </c>
      <c r="V68" t="s">
        <v>2574</v>
      </c>
      <c r="X68" t="s">
        <v>2572</v>
      </c>
      <c r="Y68" s="57">
        <v>0.19</v>
      </c>
      <c r="Z68" t="s">
        <v>2564</v>
      </c>
      <c r="AA68" t="s">
        <v>2563</v>
      </c>
    </row>
    <row r="69" spans="1:27" x14ac:dyDescent="0.3">
      <c r="A69" s="5" t="s">
        <v>313</v>
      </c>
      <c r="B69" s="5" t="s">
        <v>314</v>
      </c>
      <c r="C69" s="5" t="s">
        <v>8</v>
      </c>
      <c r="D69" s="5" t="s">
        <v>55</v>
      </c>
      <c r="E69" s="5" t="s">
        <v>117</v>
      </c>
      <c r="F69" s="5" t="s">
        <v>118</v>
      </c>
      <c r="G69" s="5" t="s">
        <v>119</v>
      </c>
      <c r="H69" s="6">
        <v>46486</v>
      </c>
      <c r="I69" s="6">
        <v>46488</v>
      </c>
      <c r="J69" s="6">
        <v>46488</v>
      </c>
      <c r="K69" s="5" t="s">
        <v>310</v>
      </c>
      <c r="L69" s="5" t="s">
        <v>131</v>
      </c>
      <c r="M69" s="5" t="s">
        <v>2574</v>
      </c>
      <c r="N69" s="5" t="s">
        <v>123</v>
      </c>
      <c r="O69" s="5" t="s">
        <v>365</v>
      </c>
      <c r="P69" s="57"/>
      <c r="U69" t="s">
        <v>952</v>
      </c>
      <c r="V69" t="s">
        <v>2574</v>
      </c>
      <c r="X69" t="s">
        <v>2572</v>
      </c>
      <c r="Y69" s="57">
        <v>0.18</v>
      </c>
      <c r="Z69" t="s">
        <v>2567</v>
      </c>
      <c r="AA69" t="s">
        <v>2565</v>
      </c>
    </row>
    <row r="70" spans="1:27" x14ac:dyDescent="0.3">
      <c r="A70" s="5" t="s">
        <v>315</v>
      </c>
      <c r="B70" s="5" t="s">
        <v>316</v>
      </c>
      <c r="C70" s="5" t="s">
        <v>9</v>
      </c>
      <c r="D70" s="5" t="s">
        <v>64</v>
      </c>
      <c r="E70" s="5" t="s">
        <v>117</v>
      </c>
      <c r="F70" s="5" t="s">
        <v>127</v>
      </c>
      <c r="G70" s="5" t="s">
        <v>134</v>
      </c>
      <c r="H70" s="6">
        <v>46495</v>
      </c>
      <c r="I70" s="6">
        <v>46497</v>
      </c>
      <c r="J70" s="6">
        <v>46497</v>
      </c>
      <c r="K70" s="5" t="s">
        <v>143</v>
      </c>
      <c r="L70" s="5" t="s">
        <v>144</v>
      </c>
      <c r="M70" s="5" t="s">
        <v>2574</v>
      </c>
      <c r="N70" s="5"/>
      <c r="O70" s="5" t="s">
        <v>359</v>
      </c>
      <c r="P70" s="57"/>
      <c r="U70" t="s">
        <v>955</v>
      </c>
      <c r="V70" t="s">
        <v>2574</v>
      </c>
      <c r="W70" t="s">
        <v>311</v>
      </c>
      <c r="X70" t="s">
        <v>2572</v>
      </c>
      <c r="Y70" s="57">
        <v>0.02</v>
      </c>
      <c r="Z70" t="s">
        <v>2568</v>
      </c>
      <c r="AA70" t="s">
        <v>2559</v>
      </c>
    </row>
    <row r="71" spans="1:27" x14ac:dyDescent="0.3">
      <c r="A71" s="5" t="s">
        <v>317</v>
      </c>
      <c r="B71" s="5" t="s">
        <v>318</v>
      </c>
      <c r="C71" s="5" t="s">
        <v>10</v>
      </c>
      <c r="D71" s="5" t="s">
        <v>75</v>
      </c>
      <c r="E71" s="5" t="s">
        <v>127</v>
      </c>
      <c r="F71" s="5" t="s">
        <v>127</v>
      </c>
      <c r="G71" s="5" t="s">
        <v>134</v>
      </c>
      <c r="H71" s="6">
        <v>46499</v>
      </c>
      <c r="I71" s="6">
        <v>46501</v>
      </c>
      <c r="J71" s="6">
        <v>46502</v>
      </c>
      <c r="K71" s="5" t="s">
        <v>223</v>
      </c>
      <c r="L71" s="5" t="s">
        <v>241</v>
      </c>
      <c r="M71" s="5" t="s">
        <v>2574</v>
      </c>
      <c r="N71" s="5"/>
      <c r="O71" s="5" t="s">
        <v>357</v>
      </c>
      <c r="P71" s="57"/>
      <c r="R71" t="s">
        <v>1937</v>
      </c>
      <c r="U71" t="s">
        <v>958</v>
      </c>
      <c r="V71" t="s">
        <v>2574</v>
      </c>
      <c r="X71" t="s">
        <v>2572</v>
      </c>
      <c r="Y71" s="57">
        <v>0</v>
      </c>
      <c r="Z71" t="s">
        <v>2569</v>
      </c>
      <c r="AA71" t="s">
        <v>2563</v>
      </c>
    </row>
    <row r="72" spans="1:27" x14ac:dyDescent="0.3">
      <c r="A72" s="5" t="s">
        <v>319</v>
      </c>
      <c r="B72" s="5" t="s">
        <v>320</v>
      </c>
      <c r="C72" s="5" t="s">
        <v>11</v>
      </c>
      <c r="D72" s="5" t="s">
        <v>90</v>
      </c>
      <c r="E72" s="5" t="s">
        <v>117</v>
      </c>
      <c r="F72" s="5" t="s">
        <v>118</v>
      </c>
      <c r="G72" s="5" t="s">
        <v>134</v>
      </c>
      <c r="H72" s="6">
        <v>46505</v>
      </c>
      <c r="I72" s="6">
        <v>46507</v>
      </c>
      <c r="J72" s="6">
        <v>46507</v>
      </c>
      <c r="K72" s="5" t="s">
        <v>244</v>
      </c>
      <c r="L72" s="5" t="s">
        <v>245</v>
      </c>
      <c r="M72" s="5" t="s">
        <v>2574</v>
      </c>
      <c r="N72" s="5" t="s">
        <v>123</v>
      </c>
      <c r="O72" s="5" t="s">
        <v>366</v>
      </c>
      <c r="P72" s="57"/>
      <c r="U72" t="s">
        <v>1109</v>
      </c>
      <c r="V72" t="s">
        <v>2574</v>
      </c>
      <c r="X72" t="s">
        <v>2572</v>
      </c>
      <c r="Y72" s="57">
        <v>0.11</v>
      </c>
      <c r="Z72" t="s">
        <v>2570</v>
      </c>
      <c r="AA72" t="s">
        <v>2565</v>
      </c>
    </row>
    <row r="73" spans="1:27" x14ac:dyDescent="0.3">
      <c r="A73" s="5" t="s">
        <v>321</v>
      </c>
      <c r="B73" s="5" t="s">
        <v>322</v>
      </c>
      <c r="C73" s="5" t="s">
        <v>12</v>
      </c>
      <c r="D73" s="5" t="s">
        <v>94</v>
      </c>
      <c r="E73" s="5" t="s">
        <v>117</v>
      </c>
      <c r="F73" s="5" t="s">
        <v>118</v>
      </c>
      <c r="G73" s="5" t="s">
        <v>134</v>
      </c>
      <c r="H73" s="6">
        <v>46509</v>
      </c>
      <c r="I73" s="6">
        <v>46511</v>
      </c>
      <c r="J73" s="6">
        <v>46511</v>
      </c>
      <c r="K73" s="5" t="s">
        <v>155</v>
      </c>
      <c r="L73" s="5" t="s">
        <v>267</v>
      </c>
      <c r="M73" s="5" t="s">
        <v>2574</v>
      </c>
      <c r="N73" s="5"/>
      <c r="O73" s="5" t="s">
        <v>350</v>
      </c>
      <c r="P73" s="57"/>
      <c r="U73" t="s">
        <v>1115</v>
      </c>
      <c r="V73" t="s">
        <v>2574</v>
      </c>
      <c r="X73" t="s">
        <v>2572</v>
      </c>
      <c r="Y73" s="57">
        <v>0.18</v>
      </c>
      <c r="Z73" t="s">
        <v>2573</v>
      </c>
      <c r="AA73" t="s">
        <v>2565</v>
      </c>
    </row>
    <row r="74" spans="1:27" x14ac:dyDescent="0.3">
      <c r="A74" s="5" t="s">
        <v>323</v>
      </c>
      <c r="B74" s="5" t="s">
        <v>324</v>
      </c>
      <c r="C74" s="5" t="s">
        <v>5</v>
      </c>
      <c r="D74" s="5" t="s">
        <v>16</v>
      </c>
      <c r="E74" s="5" t="s">
        <v>127</v>
      </c>
      <c r="F74" s="5" t="s">
        <v>127</v>
      </c>
      <c r="G74" s="5" t="s">
        <v>142</v>
      </c>
      <c r="H74" s="6">
        <v>46508</v>
      </c>
      <c r="I74" s="6">
        <v>46510</v>
      </c>
      <c r="J74" s="6">
        <v>46511</v>
      </c>
      <c r="K74" s="5" t="s">
        <v>244</v>
      </c>
      <c r="L74" s="5" t="s">
        <v>245</v>
      </c>
      <c r="M74" s="5" t="s">
        <v>2574</v>
      </c>
      <c r="N74" s="5" t="s">
        <v>123</v>
      </c>
      <c r="O74" s="5" t="s">
        <v>367</v>
      </c>
      <c r="P74" s="57"/>
      <c r="U74" t="s">
        <v>1118</v>
      </c>
      <c r="V74" t="s">
        <v>2574</v>
      </c>
      <c r="W74" t="s">
        <v>2582</v>
      </c>
      <c r="X74" t="s">
        <v>2572</v>
      </c>
      <c r="Y74" s="57">
        <v>0.14000000000000001</v>
      </c>
      <c r="Z74" t="s">
        <v>2558</v>
      </c>
      <c r="AA74" t="s">
        <v>2559</v>
      </c>
    </row>
    <row r="75" spans="1:27" x14ac:dyDescent="0.3">
      <c r="A75" s="5" t="s">
        <v>325</v>
      </c>
      <c r="B75" s="5" t="s">
        <v>326</v>
      </c>
      <c r="C75" s="5" t="s">
        <v>6</v>
      </c>
      <c r="D75" s="5" t="s">
        <v>34</v>
      </c>
      <c r="E75" s="5" t="s">
        <v>117</v>
      </c>
      <c r="F75" s="5" t="s">
        <v>118</v>
      </c>
      <c r="G75" s="5" t="s">
        <v>134</v>
      </c>
      <c r="H75" s="6">
        <v>46517</v>
      </c>
      <c r="I75" s="6">
        <v>46519</v>
      </c>
      <c r="J75" s="6">
        <v>46519</v>
      </c>
      <c r="K75" s="5" t="s">
        <v>188</v>
      </c>
      <c r="L75" s="5" t="s">
        <v>189</v>
      </c>
      <c r="M75" s="5" t="s">
        <v>2574</v>
      </c>
      <c r="N75" s="5"/>
      <c r="O75" s="5" t="s">
        <v>350</v>
      </c>
      <c r="P75" s="57"/>
      <c r="U75" t="s">
        <v>1121</v>
      </c>
      <c r="V75" t="s">
        <v>2574</v>
      </c>
      <c r="X75" t="s">
        <v>2572</v>
      </c>
      <c r="Y75" s="57">
        <v>0.16</v>
      </c>
      <c r="Z75" t="s">
        <v>2562</v>
      </c>
      <c r="AA75" t="s">
        <v>2565</v>
      </c>
    </row>
    <row r="76" spans="1:27" x14ac:dyDescent="0.3">
      <c r="A76" s="5" t="s">
        <v>327</v>
      </c>
      <c r="B76" s="5" t="s">
        <v>328</v>
      </c>
      <c r="C76" s="5" t="s">
        <v>7</v>
      </c>
      <c r="D76" s="5" t="s">
        <v>47</v>
      </c>
      <c r="E76" s="5" t="s">
        <v>127</v>
      </c>
      <c r="F76" s="5" t="s">
        <v>127</v>
      </c>
      <c r="G76" s="5" t="s">
        <v>134</v>
      </c>
      <c r="H76" s="6">
        <v>46521</v>
      </c>
      <c r="I76" s="6">
        <v>46523</v>
      </c>
      <c r="J76" s="6">
        <v>46524</v>
      </c>
      <c r="K76" s="5" t="s">
        <v>167</v>
      </c>
      <c r="L76" s="5" t="s">
        <v>193</v>
      </c>
      <c r="M76" s="5" t="s">
        <v>2574</v>
      </c>
      <c r="N76" s="5"/>
      <c r="O76" s="5" t="s">
        <v>349</v>
      </c>
      <c r="P76" s="57"/>
      <c r="U76" t="s">
        <v>1124</v>
      </c>
      <c r="V76" t="s">
        <v>2574</v>
      </c>
      <c r="X76" t="s">
        <v>2572</v>
      </c>
      <c r="Y76" s="57">
        <v>0.04</v>
      </c>
      <c r="Z76" t="s">
        <v>2564</v>
      </c>
      <c r="AA76" t="s">
        <v>2563</v>
      </c>
    </row>
    <row r="77" spans="1:27" x14ac:dyDescent="0.3">
      <c r="A77" s="5" t="s">
        <v>329</v>
      </c>
      <c r="B77" s="5" t="s">
        <v>330</v>
      </c>
      <c r="C77" s="5" t="s">
        <v>8</v>
      </c>
      <c r="D77" s="5" t="s">
        <v>53</v>
      </c>
      <c r="E77" s="5" t="s">
        <v>117</v>
      </c>
      <c r="F77" s="5" t="s">
        <v>118</v>
      </c>
      <c r="G77" s="5" t="s">
        <v>119</v>
      </c>
      <c r="H77" s="6">
        <v>46525</v>
      </c>
      <c r="I77" s="6">
        <v>46527</v>
      </c>
      <c r="J77" s="6">
        <v>46527</v>
      </c>
      <c r="K77" s="5" t="s">
        <v>257</v>
      </c>
      <c r="L77" s="5" t="s">
        <v>139</v>
      </c>
      <c r="M77" s="5" t="s">
        <v>2574</v>
      </c>
      <c r="N77" s="5"/>
      <c r="O77" s="5" t="s">
        <v>346</v>
      </c>
      <c r="P77" s="57"/>
      <c r="U77" t="s">
        <v>1127</v>
      </c>
      <c r="V77" t="s">
        <v>2574</v>
      </c>
      <c r="X77" t="s">
        <v>2572</v>
      </c>
      <c r="Y77" s="57">
        <v>0.02</v>
      </c>
      <c r="Z77" t="s">
        <v>2567</v>
      </c>
      <c r="AA77" t="s">
        <v>2565</v>
      </c>
    </row>
    <row r="78" spans="1:27" x14ac:dyDescent="0.3">
      <c r="A78" s="5" t="s">
        <v>331</v>
      </c>
      <c r="B78" s="5" t="s">
        <v>332</v>
      </c>
      <c r="C78" s="5" t="s">
        <v>9</v>
      </c>
      <c r="D78" s="5" t="s">
        <v>65</v>
      </c>
      <c r="E78" s="5" t="s">
        <v>163</v>
      </c>
      <c r="F78" s="5" t="s">
        <v>128</v>
      </c>
      <c r="G78" s="5" t="s">
        <v>142</v>
      </c>
      <c r="H78" s="6">
        <v>46528</v>
      </c>
      <c r="I78" s="6">
        <v>46531</v>
      </c>
      <c r="J78" s="6">
        <v>46533</v>
      </c>
      <c r="K78" s="5" t="s">
        <v>298</v>
      </c>
      <c r="L78" s="5" t="s">
        <v>144</v>
      </c>
      <c r="M78" s="5" t="s">
        <v>2574</v>
      </c>
      <c r="N78" s="5"/>
      <c r="O78" s="5" t="s">
        <v>359</v>
      </c>
      <c r="P78" s="57"/>
      <c r="U78" t="s">
        <v>1130</v>
      </c>
      <c r="V78" t="s">
        <v>2574</v>
      </c>
      <c r="W78" t="s">
        <v>329</v>
      </c>
      <c r="X78" t="s">
        <v>2572</v>
      </c>
      <c r="Y78" s="57">
        <v>0.02</v>
      </c>
      <c r="Z78" t="s">
        <v>2568</v>
      </c>
      <c r="AA78" t="s">
        <v>2563</v>
      </c>
    </row>
    <row r="79" spans="1:27" x14ac:dyDescent="0.3">
      <c r="A79" s="5" t="s">
        <v>333</v>
      </c>
      <c r="B79" s="5" t="s">
        <v>334</v>
      </c>
      <c r="C79" s="5" t="s">
        <v>10</v>
      </c>
      <c r="D79" s="5" t="s">
        <v>76</v>
      </c>
      <c r="E79" s="5" t="s">
        <v>127</v>
      </c>
      <c r="F79" s="5" t="s">
        <v>128</v>
      </c>
      <c r="G79" s="5" t="s">
        <v>129</v>
      </c>
      <c r="H79" s="6">
        <v>46536</v>
      </c>
      <c r="I79" s="6">
        <v>46538</v>
      </c>
      <c r="J79" s="6">
        <v>46539</v>
      </c>
      <c r="K79" s="5" t="s">
        <v>262</v>
      </c>
      <c r="L79" s="5" t="s">
        <v>241</v>
      </c>
      <c r="M79" s="5" t="s">
        <v>2574</v>
      </c>
      <c r="N79" s="5"/>
      <c r="O79" s="5" t="s">
        <v>368</v>
      </c>
      <c r="P79" s="57"/>
      <c r="U79" t="s">
        <v>1133</v>
      </c>
      <c r="V79" t="s">
        <v>2574</v>
      </c>
      <c r="X79" t="s">
        <v>2572</v>
      </c>
      <c r="Y79" s="57">
        <v>0.06</v>
      </c>
      <c r="Z79" t="s">
        <v>2569</v>
      </c>
      <c r="AA79" t="s">
        <v>2563</v>
      </c>
    </row>
    <row r="80" spans="1:27" x14ac:dyDescent="0.3">
      <c r="A80" s="5" t="s">
        <v>335</v>
      </c>
      <c r="B80" s="5" t="s">
        <v>336</v>
      </c>
      <c r="C80" s="5" t="s">
        <v>11</v>
      </c>
      <c r="D80" s="5" t="s">
        <v>87</v>
      </c>
      <c r="E80" s="5" t="s">
        <v>127</v>
      </c>
      <c r="F80" s="5" t="s">
        <v>128</v>
      </c>
      <c r="G80" s="5" t="s">
        <v>142</v>
      </c>
      <c r="H80" s="6">
        <v>46540</v>
      </c>
      <c r="I80" s="6">
        <v>46542</v>
      </c>
      <c r="J80" s="6">
        <v>46543</v>
      </c>
      <c r="K80" s="5" t="s">
        <v>303</v>
      </c>
      <c r="L80" s="5" t="s">
        <v>245</v>
      </c>
      <c r="M80" s="5" t="s">
        <v>2574</v>
      </c>
      <c r="N80" s="5"/>
      <c r="O80" s="5" t="s">
        <v>349</v>
      </c>
      <c r="P80" s="57"/>
      <c r="T80" t="s">
        <v>1942</v>
      </c>
      <c r="U80" t="s">
        <v>940</v>
      </c>
      <c r="V80" t="s">
        <v>2574</v>
      </c>
      <c r="X80" t="s">
        <v>2572</v>
      </c>
      <c r="Y80" s="57">
        <v>0.08</v>
      </c>
      <c r="Z80" t="s">
        <v>2570</v>
      </c>
      <c r="AA80" t="s">
        <v>2559</v>
      </c>
    </row>
    <row r="81" spans="1:27" x14ac:dyDescent="0.3">
      <c r="A81" s="5" t="s">
        <v>337</v>
      </c>
      <c r="B81" s="5" t="s">
        <v>338</v>
      </c>
      <c r="C81" s="5" t="s">
        <v>12</v>
      </c>
      <c r="D81" s="5" t="s">
        <v>93</v>
      </c>
      <c r="E81" s="5" t="s">
        <v>127</v>
      </c>
      <c r="F81" s="5" t="s">
        <v>128</v>
      </c>
      <c r="G81" s="5" t="s">
        <v>129</v>
      </c>
      <c r="H81" s="6">
        <v>46544</v>
      </c>
      <c r="I81" s="6">
        <v>46546</v>
      </c>
      <c r="J81" s="6">
        <v>46547</v>
      </c>
      <c r="K81" s="5" t="s">
        <v>248</v>
      </c>
      <c r="L81" s="5" t="s">
        <v>267</v>
      </c>
      <c r="M81" s="5" t="s">
        <v>2574</v>
      </c>
      <c r="N81" s="5"/>
      <c r="O81" s="5" t="s">
        <v>344</v>
      </c>
      <c r="P81" s="57"/>
      <c r="U81" t="s">
        <v>946</v>
      </c>
      <c r="V81" t="s">
        <v>2574</v>
      </c>
      <c r="X81" t="s">
        <v>2572</v>
      </c>
      <c r="Y81" s="57">
        <v>0.08</v>
      </c>
      <c r="Z81" t="s">
        <v>2573</v>
      </c>
      <c r="AA81" t="s">
        <v>2563</v>
      </c>
    </row>
  </sheetData>
  <conditionalFormatting sqref="E2:E81">
    <cfRule type="containsText" dxfId="89" priority="6" operator="containsText" text="Large">
      <formula>NOT(ISERROR(SEARCH("Large",E2)))</formula>
    </cfRule>
  </conditionalFormatting>
  <conditionalFormatting sqref="F2:F81">
    <cfRule type="containsText" dxfId="88" priority="2" operator="containsText" text="High">
      <formula>NOT(ISERROR(SEARCH("High",F2)))</formula>
    </cfRule>
    <cfRule type="containsText" dxfId="87" priority="3" operator="containsText" text="Medium">
      <formula>NOT(ISERROR(SEARCH("Medium",F2)))</formula>
    </cfRule>
  </conditionalFormatting>
  <conditionalFormatting sqref="G2:H81">
    <cfRule type="containsText" dxfId="86" priority="4" operator="containsText" text="P1">
      <formula>NOT(ISERROR(SEARCH("P1",G2)))</formula>
    </cfRule>
    <cfRule type="containsText" dxfId="85" priority="5" operator="containsText" text="P2">
      <formula>NOT(ISERROR(SEARCH("P2",G2)))</formula>
    </cfRule>
  </conditionalFormatting>
  <conditionalFormatting sqref="M2:M81">
    <cfRule type="containsText" dxfId="84" priority="19" operator="containsText" text="Approved">
      <formula>NOT(ISERROR(SEARCH("Approved",M2)))</formula>
    </cfRule>
    <cfRule type="containsText" dxfId="83" priority="15" operator="containsText" text="Draft">
      <formula>NOT(ISERROR(SEARCH("Draft",M2)))</formula>
    </cfRule>
    <cfRule type="containsText" dxfId="82" priority="16" operator="containsText" text="Planning">
      <formula>NOT(ISERROR(SEARCH("Planning",M2)))</formula>
    </cfRule>
    <cfRule type="containsText" dxfId="81" priority="17" operator="containsText" text="Testing">
      <formula>NOT(ISERROR(SEARCH("Testing",M2)))</formula>
    </cfRule>
    <cfRule type="containsText" dxfId="80" priority="18" operator="containsText" text="Pending CAB">
      <formula>NOT(ISERROR(SEARCH("Pending CAB",M2)))</formula>
    </cfRule>
    <cfRule type="containsText" dxfId="79" priority="23" operator="containsText" text="Closed">
      <formula>NOT(ISERROR(SEARCH("Closed",M2)))</formula>
    </cfRule>
    <cfRule type="containsText" dxfId="78" priority="22" operator="containsText" text="Blocked">
      <formula>NOT(ISERROR(SEARCH("Blocked",M2)))</formula>
    </cfRule>
    <cfRule type="containsText" dxfId="77" priority="21" operator="containsText" text="Deployed">
      <formula>NOT(ISERROR(SEARCH("Deployed",M2)))</formula>
    </cfRule>
    <cfRule type="containsText" dxfId="76" priority="20" operator="containsText" text="In Progress">
      <formula>NOT(ISERROR(SEARCH("In Progress",M2)))</formula>
    </cfRule>
  </conditionalFormatting>
  <conditionalFormatting sqref="N2:N81">
    <cfRule type="containsText" dxfId="75" priority="1" operator="containsText" text="CONFLICT">
      <formula>NOT(ISERROR(SEARCH("CONFLICT",N2)))</formula>
    </cfRule>
  </conditionalFormatting>
  <conditionalFormatting sqref="P2:P81">
    <cfRule type="cellIs" dxfId="74" priority="7" operator="lessThan">
      <formula>0.5</formula>
    </cfRule>
    <cfRule type="cellIs" dxfId="73" priority="8" operator="between">
      <formula>0.5</formula>
      <formula>0.75</formula>
    </cfRule>
    <cfRule type="cellIs" dxfId="72" priority="9" operator="between">
      <formula>0.75</formula>
      <formula>0.9</formula>
    </cfRule>
    <cfRule type="cellIs" dxfId="71" priority="10" operator="greaterThanOrEqual">
      <formula>0.9</formula>
    </cfRule>
  </conditionalFormatting>
  <conditionalFormatting sqref="Q2:Q81">
    <cfRule type="expression" dxfId="70" priority="11">
      <formula>LEN($Q2)&gt;0</formula>
    </cfRule>
  </conditionalFormatting>
  <conditionalFormatting sqref="R2:R81">
    <cfRule type="expression" dxfId="69" priority="12">
      <formula>LEN($R2)&gt;0</formula>
    </cfRule>
  </conditionalFormatting>
  <conditionalFormatting sqref="S2:S81">
    <cfRule type="expression" dxfId="68" priority="13">
      <formula>LEN($S2)&gt;0</formula>
    </cfRule>
  </conditionalFormatting>
  <conditionalFormatting sqref="T2:T81">
    <cfRule type="expression" dxfId="67" priority="14">
      <formula>LEN($T2)&gt;0</formula>
    </cfRule>
  </conditionalFormatting>
  <conditionalFormatting sqref="V2:V81">
    <cfRule type="containsText" dxfId="66" priority="24" operator="containsText" text="Draft">
      <formula>NOT(ISERROR(SEARCH("Draft",V2)))</formula>
    </cfRule>
    <cfRule type="containsText" dxfId="65" priority="25" operator="containsText" text="Planning">
      <formula>NOT(ISERROR(SEARCH("Planning",V2)))</formula>
    </cfRule>
    <cfRule type="containsText" dxfId="64" priority="26" operator="containsText" text="Testing">
      <formula>NOT(ISERROR(SEARCH("Testing",V2)))</formula>
    </cfRule>
    <cfRule type="containsText" dxfId="63" priority="27" operator="containsText" text="CAB Submitted">
      <formula>NOT(ISERROR(SEARCH("CAB Submitted",V2)))</formula>
    </cfRule>
    <cfRule type="containsText" dxfId="62" priority="28" operator="containsText" text="CAB Approved">
      <formula>NOT(ISERROR(SEARCH("CAB Approved",V2)))</formula>
    </cfRule>
    <cfRule type="containsText" dxfId="61" priority="29" operator="containsText" text="Deploying">
      <formula>NOT(ISERROR(SEARCH("Deploying",V2)))</formula>
    </cfRule>
    <cfRule type="containsText" dxfId="60" priority="30" operator="containsText" text="Deployed">
      <formula>NOT(ISERROR(SEARCH("Deployed",V2)))</formula>
    </cfRule>
    <cfRule type="containsText" dxfId="59" priority="31" operator="containsText" text="PIR Complete">
      <formula>NOT(ISERROR(SEARCH("PIR Complete",V2)))</formula>
    </cfRule>
    <cfRule type="containsText" dxfId="58" priority="32" operator="containsText" text="On Hold">
      <formula>NOT(ISERROR(SEARCH("On Hold",V2)))</formula>
    </cfRule>
    <cfRule type="containsText" dxfId="57" priority="33" operator="containsText" text="Closed">
      <formula>NOT(ISERROR(SEARCH("Closed",V2)))</formula>
    </cfRule>
  </conditionalFormatting>
  <conditionalFormatting sqref="X2:X81">
    <cfRule type="containsText" dxfId="56" priority="34" operator="containsText" text="Ready">
      <formula>NOT(ISERROR(SEARCH("Ready",X2)))</formula>
    </cfRule>
    <cfRule type="containsText" dxfId="55" priority="35" operator="containsText" text="In Progress">
      <formula>NOT(ISERROR(SEARCH("In Progress",X2)))</formula>
    </cfRule>
    <cfRule type="containsText" dxfId="54" priority="36" operator="containsText" text="Not Started">
      <formula>NOT(ISERROR(SEARCH("Not Started",X2)))</formula>
    </cfRule>
    <cfRule type="containsText" dxfId="53" priority="37" operator="containsText" text="At Risk">
      <formula>NOT(ISERROR(SEARCH("At Risk",X2)))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385B7E-199C-4C22-A42D-4A2BDCFB0901}">
  <dimension ref="A1:J177"/>
  <sheetViews>
    <sheetView workbookViewId="0">
      <pane ySplit="11" topLeftCell="A12" activePane="bottomLeft" state="frozen"/>
      <selection pane="bottomLeft" activeCell="H3" sqref="H3"/>
    </sheetView>
  </sheetViews>
  <sheetFormatPr defaultRowHeight="14.4" x14ac:dyDescent="0.3"/>
  <cols>
    <col min="1" max="1" width="14.77734375" customWidth="1"/>
    <col min="2" max="2" width="9.21875" customWidth="1"/>
    <col min="3" max="3" width="16.6640625" customWidth="1"/>
    <col min="4" max="4" width="9.21875" customWidth="1"/>
    <col min="5" max="5" width="20.33203125" customWidth="1"/>
    <col min="6" max="6" width="14.77734375" customWidth="1"/>
    <col min="7" max="7" width="40.77734375" customWidth="1"/>
    <col min="8" max="8" width="18.5546875" customWidth="1"/>
    <col min="9" max="9" width="20.33203125" customWidth="1"/>
    <col min="10" max="10" width="33.33203125" customWidth="1"/>
  </cols>
  <sheetData>
    <row r="1" spans="1:10" ht="21" x14ac:dyDescent="0.4">
      <c r="A1" s="182" t="s">
        <v>2049</v>
      </c>
      <c r="B1" s="183"/>
      <c r="C1" s="183"/>
      <c r="D1" s="183"/>
      <c r="E1" s="183"/>
      <c r="F1" s="183"/>
      <c r="G1" s="183"/>
      <c r="H1" s="183"/>
    </row>
    <row r="3" spans="1:10" x14ac:dyDescent="0.3">
      <c r="A3" s="1" t="s">
        <v>370</v>
      </c>
    </row>
    <row r="4" spans="1:10" x14ac:dyDescent="0.3">
      <c r="A4" s="60" t="s">
        <v>2050</v>
      </c>
      <c r="B4" t="s">
        <v>2051</v>
      </c>
    </row>
    <row r="5" spans="1:10" x14ac:dyDescent="0.3">
      <c r="A5" s="61" t="s">
        <v>2052</v>
      </c>
      <c r="B5" t="s">
        <v>2053</v>
      </c>
    </row>
    <row r="6" spans="1:10" x14ac:dyDescent="0.3">
      <c r="A6" s="62" t="s">
        <v>2054</v>
      </c>
      <c r="B6" t="s">
        <v>2055</v>
      </c>
    </row>
    <row r="7" spans="1:10" x14ac:dyDescent="0.3">
      <c r="A7" s="63" t="s">
        <v>2056</v>
      </c>
      <c r="B7" t="s">
        <v>2057</v>
      </c>
    </row>
    <row r="8" spans="1:10" x14ac:dyDescent="0.3">
      <c r="A8" s="64" t="s">
        <v>2058</v>
      </c>
      <c r="B8" t="s">
        <v>2059</v>
      </c>
    </row>
    <row r="9" spans="1:10" x14ac:dyDescent="0.3">
      <c r="A9" s="65" t="s">
        <v>2060</v>
      </c>
      <c r="B9" t="s">
        <v>2061</v>
      </c>
    </row>
    <row r="11" spans="1:10" x14ac:dyDescent="0.3">
      <c r="A11" s="2" t="s">
        <v>2062</v>
      </c>
      <c r="B11" s="2" t="s">
        <v>2063</v>
      </c>
      <c r="C11" s="2" t="s">
        <v>2064</v>
      </c>
      <c r="D11" s="2" t="s">
        <v>2065</v>
      </c>
      <c r="E11" s="2" t="s">
        <v>2066</v>
      </c>
      <c r="F11" s="2" t="s">
        <v>103</v>
      </c>
      <c r="G11" s="2" t="s">
        <v>104</v>
      </c>
      <c r="H11" s="2" t="s">
        <v>1</v>
      </c>
      <c r="I11" s="2" t="s">
        <v>2067</v>
      </c>
      <c r="J11" s="2" t="s">
        <v>114</v>
      </c>
    </row>
    <row r="12" spans="1:10" x14ac:dyDescent="0.3">
      <c r="A12" s="66" t="str">
        <f t="shared" ref="A12:A43" si="0">TEXT(C12,"mmm yyyy")</f>
        <v>Jun 2026</v>
      </c>
      <c r="B12">
        <v>4</v>
      </c>
      <c r="C12" s="3">
        <v>46201</v>
      </c>
      <c r="D12" t="s">
        <v>2068</v>
      </c>
      <c r="E12" t="s">
        <v>2069</v>
      </c>
      <c r="F12" t="s">
        <v>115</v>
      </c>
      <c r="G12" t="s">
        <v>2070</v>
      </c>
      <c r="H12" t="s">
        <v>5</v>
      </c>
      <c r="I12" t="s">
        <v>117</v>
      </c>
      <c r="J12" t="s">
        <v>2071</v>
      </c>
    </row>
    <row r="13" spans="1:10" x14ac:dyDescent="0.3">
      <c r="A13" s="66" t="str">
        <f t="shared" si="0"/>
        <v>Jun 2026</v>
      </c>
      <c r="B13">
        <v>5</v>
      </c>
      <c r="C13" s="3">
        <v>46203</v>
      </c>
      <c r="D13" t="s">
        <v>2072</v>
      </c>
      <c r="E13" t="s">
        <v>2073</v>
      </c>
      <c r="F13" t="s">
        <v>115</v>
      </c>
      <c r="G13" t="s">
        <v>116</v>
      </c>
      <c r="H13" t="s">
        <v>5</v>
      </c>
      <c r="I13" t="s">
        <v>2074</v>
      </c>
      <c r="J13" t="s">
        <v>2075</v>
      </c>
    </row>
    <row r="14" spans="1:10" x14ac:dyDescent="0.3">
      <c r="A14" s="66" t="str">
        <f t="shared" si="0"/>
        <v>Jun 2026</v>
      </c>
      <c r="B14">
        <v>5</v>
      </c>
      <c r="C14" s="3">
        <v>46203</v>
      </c>
      <c r="D14" t="s">
        <v>2072</v>
      </c>
      <c r="E14" t="s">
        <v>2069</v>
      </c>
      <c r="F14" t="s">
        <v>132</v>
      </c>
      <c r="G14" t="s">
        <v>2076</v>
      </c>
      <c r="H14" t="s">
        <v>7</v>
      </c>
      <c r="I14" t="s">
        <v>117</v>
      </c>
      <c r="J14" t="s">
        <v>2077</v>
      </c>
    </row>
    <row r="15" spans="1:10" x14ac:dyDescent="0.3">
      <c r="A15" s="66" t="str">
        <f t="shared" si="0"/>
        <v>Jul 2026</v>
      </c>
      <c r="B15">
        <v>1</v>
      </c>
      <c r="C15" s="3">
        <v>46205</v>
      </c>
      <c r="D15" t="s">
        <v>2078</v>
      </c>
      <c r="E15" t="s">
        <v>2069</v>
      </c>
      <c r="F15" t="s">
        <v>125</v>
      </c>
      <c r="G15" t="s">
        <v>2079</v>
      </c>
      <c r="H15" t="s">
        <v>6</v>
      </c>
      <c r="I15" t="s">
        <v>127</v>
      </c>
      <c r="J15" t="s">
        <v>2080</v>
      </c>
    </row>
    <row r="16" spans="1:10" x14ac:dyDescent="0.3">
      <c r="A16" s="66" t="str">
        <f t="shared" si="0"/>
        <v>Jul 2026</v>
      </c>
      <c r="B16">
        <v>1</v>
      </c>
      <c r="C16" s="3">
        <v>46205</v>
      </c>
      <c r="D16" t="s">
        <v>2078</v>
      </c>
      <c r="E16" t="s">
        <v>2073</v>
      </c>
      <c r="F16" t="s">
        <v>132</v>
      </c>
      <c r="G16" t="s">
        <v>133</v>
      </c>
      <c r="H16" t="s">
        <v>7</v>
      </c>
      <c r="I16" t="s">
        <v>2074</v>
      </c>
      <c r="J16" t="s">
        <v>2081</v>
      </c>
    </row>
    <row r="17" spans="1:10" x14ac:dyDescent="0.3">
      <c r="A17" s="66" t="str">
        <f t="shared" si="0"/>
        <v>Jul 2026</v>
      </c>
      <c r="B17">
        <v>1</v>
      </c>
      <c r="C17" s="3">
        <v>46205</v>
      </c>
      <c r="D17" t="s">
        <v>2078</v>
      </c>
      <c r="E17" t="s">
        <v>2069</v>
      </c>
      <c r="F17" t="s">
        <v>150</v>
      </c>
      <c r="G17" t="s">
        <v>2082</v>
      </c>
      <c r="H17" t="s">
        <v>11</v>
      </c>
      <c r="I17" t="s">
        <v>127</v>
      </c>
      <c r="J17" t="s">
        <v>2083</v>
      </c>
    </row>
    <row r="18" spans="1:10" x14ac:dyDescent="0.3">
      <c r="A18" s="66" t="str">
        <f t="shared" si="0"/>
        <v>Jul 2026</v>
      </c>
      <c r="B18">
        <v>1</v>
      </c>
      <c r="C18" s="3">
        <v>46207</v>
      </c>
      <c r="D18" t="s">
        <v>2084</v>
      </c>
      <c r="E18" t="s">
        <v>2073</v>
      </c>
      <c r="F18" t="s">
        <v>125</v>
      </c>
      <c r="G18" t="s">
        <v>126</v>
      </c>
      <c r="H18" t="s">
        <v>6</v>
      </c>
      <c r="I18" t="s">
        <v>2085</v>
      </c>
      <c r="J18" t="s">
        <v>2086</v>
      </c>
    </row>
    <row r="19" spans="1:10" x14ac:dyDescent="0.3">
      <c r="A19" s="66" t="str">
        <f t="shared" si="0"/>
        <v>Jul 2026</v>
      </c>
      <c r="B19">
        <v>1</v>
      </c>
      <c r="C19" s="3">
        <v>46207</v>
      </c>
      <c r="D19" t="s">
        <v>2084</v>
      </c>
      <c r="E19" t="s">
        <v>2073</v>
      </c>
      <c r="F19" t="s">
        <v>150</v>
      </c>
      <c r="G19" t="s">
        <v>151</v>
      </c>
      <c r="H19" t="s">
        <v>11</v>
      </c>
      <c r="I19" t="s">
        <v>2085</v>
      </c>
      <c r="J19" t="s">
        <v>2086</v>
      </c>
    </row>
    <row r="20" spans="1:10" x14ac:dyDescent="0.3">
      <c r="A20" s="66" t="str">
        <f t="shared" si="0"/>
        <v>Jul 2026</v>
      </c>
      <c r="B20">
        <v>1</v>
      </c>
      <c r="C20" s="3">
        <v>46207</v>
      </c>
      <c r="D20" t="s">
        <v>2084</v>
      </c>
      <c r="E20" t="s">
        <v>2069</v>
      </c>
      <c r="F20" t="s">
        <v>169</v>
      </c>
      <c r="G20" t="s">
        <v>2087</v>
      </c>
      <c r="H20" t="s">
        <v>8</v>
      </c>
      <c r="I20" t="s">
        <v>117</v>
      </c>
      <c r="J20" t="s">
        <v>2088</v>
      </c>
    </row>
    <row r="21" spans="1:10" x14ac:dyDescent="0.3">
      <c r="A21" s="66" t="str">
        <f t="shared" si="0"/>
        <v>Jul 2026</v>
      </c>
      <c r="B21">
        <v>1</v>
      </c>
      <c r="C21" s="3">
        <v>46209</v>
      </c>
      <c r="D21" t="s">
        <v>2089</v>
      </c>
      <c r="E21" t="s">
        <v>2073</v>
      </c>
      <c r="F21" t="s">
        <v>169</v>
      </c>
      <c r="G21" t="s">
        <v>170</v>
      </c>
      <c r="H21" t="s">
        <v>8</v>
      </c>
      <c r="I21" t="s">
        <v>2090</v>
      </c>
      <c r="J21" t="s">
        <v>2091</v>
      </c>
    </row>
    <row r="22" spans="1:10" x14ac:dyDescent="0.3">
      <c r="A22" s="66" t="str">
        <f t="shared" si="0"/>
        <v>Jul 2026</v>
      </c>
      <c r="B22">
        <v>2</v>
      </c>
      <c r="C22" s="3">
        <v>46213</v>
      </c>
      <c r="D22" t="s">
        <v>2092</v>
      </c>
      <c r="E22" t="s">
        <v>2069</v>
      </c>
      <c r="F22" t="s">
        <v>136</v>
      </c>
      <c r="G22" t="s">
        <v>2093</v>
      </c>
      <c r="H22" t="s">
        <v>8</v>
      </c>
      <c r="I22" t="s">
        <v>127</v>
      </c>
      <c r="J22" t="s">
        <v>2094</v>
      </c>
    </row>
    <row r="23" spans="1:10" x14ac:dyDescent="0.3">
      <c r="A23" s="66" t="str">
        <f t="shared" si="0"/>
        <v>Jul 2026</v>
      </c>
      <c r="B23">
        <v>2</v>
      </c>
      <c r="C23" s="3">
        <v>46215</v>
      </c>
      <c r="D23" t="s">
        <v>2068</v>
      </c>
      <c r="E23" t="s">
        <v>2073</v>
      </c>
      <c r="F23" t="s">
        <v>136</v>
      </c>
      <c r="G23" t="s">
        <v>137</v>
      </c>
      <c r="H23" t="s">
        <v>8</v>
      </c>
      <c r="I23" t="s">
        <v>2085</v>
      </c>
      <c r="J23" t="s">
        <v>2086</v>
      </c>
    </row>
    <row r="24" spans="1:10" x14ac:dyDescent="0.3">
      <c r="A24" s="66" t="str">
        <f t="shared" si="0"/>
        <v>Jul 2026</v>
      </c>
      <c r="B24">
        <v>2</v>
      </c>
      <c r="C24" s="3">
        <v>46217</v>
      </c>
      <c r="D24" t="s">
        <v>2072</v>
      </c>
      <c r="E24" t="s">
        <v>2069</v>
      </c>
      <c r="F24" t="s">
        <v>140</v>
      </c>
      <c r="G24" t="s">
        <v>2095</v>
      </c>
      <c r="H24" t="s">
        <v>9</v>
      </c>
      <c r="I24" t="s">
        <v>127</v>
      </c>
      <c r="J24" t="s">
        <v>2096</v>
      </c>
    </row>
    <row r="25" spans="1:10" x14ac:dyDescent="0.3">
      <c r="A25" s="66" t="str">
        <f t="shared" si="0"/>
        <v>Jul 2026</v>
      </c>
      <c r="B25">
        <v>3</v>
      </c>
      <c r="C25" s="3">
        <v>46218</v>
      </c>
      <c r="D25" t="s">
        <v>2097</v>
      </c>
      <c r="E25" t="s">
        <v>2069</v>
      </c>
      <c r="F25" t="s">
        <v>161</v>
      </c>
      <c r="G25" t="s">
        <v>2098</v>
      </c>
      <c r="H25" t="s">
        <v>6</v>
      </c>
      <c r="I25" t="s">
        <v>163</v>
      </c>
      <c r="J25" t="s">
        <v>2099</v>
      </c>
    </row>
    <row r="26" spans="1:10" x14ac:dyDescent="0.3">
      <c r="A26" s="66" t="str">
        <f t="shared" si="0"/>
        <v>Jul 2026</v>
      </c>
      <c r="B26">
        <v>3</v>
      </c>
      <c r="C26" s="3">
        <v>46219</v>
      </c>
      <c r="D26" t="s">
        <v>2078</v>
      </c>
      <c r="E26" t="s">
        <v>2073</v>
      </c>
      <c r="F26" t="s">
        <v>140</v>
      </c>
      <c r="G26" t="s">
        <v>141</v>
      </c>
      <c r="H26" t="s">
        <v>9</v>
      </c>
      <c r="I26" t="s">
        <v>2085</v>
      </c>
      <c r="J26" t="s">
        <v>2086</v>
      </c>
    </row>
    <row r="27" spans="1:10" x14ac:dyDescent="0.3">
      <c r="A27" s="66" t="str">
        <f t="shared" si="0"/>
        <v>Jul 2026</v>
      </c>
      <c r="B27">
        <v>3</v>
      </c>
      <c r="C27" s="3">
        <v>46221</v>
      </c>
      <c r="D27" t="s">
        <v>2084</v>
      </c>
      <c r="E27" t="s">
        <v>2069</v>
      </c>
      <c r="F27" t="s">
        <v>146</v>
      </c>
      <c r="G27" t="s">
        <v>2100</v>
      </c>
      <c r="H27" t="s">
        <v>10</v>
      </c>
      <c r="I27" t="s">
        <v>117</v>
      </c>
      <c r="J27" t="s">
        <v>2101</v>
      </c>
    </row>
    <row r="28" spans="1:10" x14ac:dyDescent="0.3">
      <c r="A28" s="66" t="str">
        <f t="shared" si="0"/>
        <v>Jul 2026</v>
      </c>
      <c r="B28">
        <v>3</v>
      </c>
      <c r="C28" s="3">
        <v>46221</v>
      </c>
      <c r="D28" t="s">
        <v>2084</v>
      </c>
      <c r="E28" t="s">
        <v>2073</v>
      </c>
      <c r="F28" t="s">
        <v>161</v>
      </c>
      <c r="G28" t="s">
        <v>162</v>
      </c>
      <c r="H28" t="s">
        <v>6</v>
      </c>
      <c r="I28" t="s">
        <v>2102</v>
      </c>
      <c r="J28" t="s">
        <v>2091</v>
      </c>
    </row>
    <row r="29" spans="1:10" x14ac:dyDescent="0.3">
      <c r="A29" s="66" t="str">
        <f t="shared" si="0"/>
        <v>Jul 2026</v>
      </c>
      <c r="B29">
        <v>3</v>
      </c>
      <c r="C29" s="3">
        <v>46223</v>
      </c>
      <c r="D29" t="s">
        <v>2089</v>
      </c>
      <c r="E29" t="s">
        <v>2073</v>
      </c>
      <c r="F29" t="s">
        <v>146</v>
      </c>
      <c r="G29" t="s">
        <v>147</v>
      </c>
      <c r="H29" t="s">
        <v>10</v>
      </c>
      <c r="I29" t="s">
        <v>2090</v>
      </c>
      <c r="J29" t="s">
        <v>2091</v>
      </c>
    </row>
    <row r="30" spans="1:10" x14ac:dyDescent="0.3">
      <c r="A30" s="66" t="str">
        <f t="shared" si="0"/>
        <v>Jul 2026</v>
      </c>
      <c r="B30">
        <v>5</v>
      </c>
      <c r="C30" s="3">
        <v>46232</v>
      </c>
      <c r="D30" t="s">
        <v>2097</v>
      </c>
      <c r="E30" t="s">
        <v>2069</v>
      </c>
      <c r="F30" t="s">
        <v>153</v>
      </c>
      <c r="G30" t="s">
        <v>2103</v>
      </c>
      <c r="H30" t="s">
        <v>12</v>
      </c>
      <c r="I30" t="s">
        <v>117</v>
      </c>
      <c r="J30" t="s">
        <v>2104</v>
      </c>
    </row>
    <row r="31" spans="1:10" x14ac:dyDescent="0.3">
      <c r="A31" s="66" t="str">
        <f t="shared" si="0"/>
        <v>Jul 2026</v>
      </c>
      <c r="B31">
        <v>5</v>
      </c>
      <c r="C31" s="3">
        <v>46234</v>
      </c>
      <c r="D31" t="s">
        <v>2092</v>
      </c>
      <c r="E31" t="s">
        <v>2073</v>
      </c>
      <c r="F31" t="s">
        <v>153</v>
      </c>
      <c r="G31" t="s">
        <v>154</v>
      </c>
      <c r="H31" t="s">
        <v>12</v>
      </c>
      <c r="I31" t="s">
        <v>2074</v>
      </c>
      <c r="J31" t="s">
        <v>2081</v>
      </c>
    </row>
    <row r="32" spans="1:10" x14ac:dyDescent="0.3">
      <c r="A32" s="66" t="str">
        <f t="shared" si="0"/>
        <v>Aug 2026</v>
      </c>
      <c r="B32">
        <v>1</v>
      </c>
      <c r="C32" s="3">
        <v>46236</v>
      </c>
      <c r="D32" t="s">
        <v>2068</v>
      </c>
      <c r="E32" t="s">
        <v>2069</v>
      </c>
      <c r="F32" t="s">
        <v>157</v>
      </c>
      <c r="G32" t="s">
        <v>2105</v>
      </c>
      <c r="H32" t="s">
        <v>5</v>
      </c>
      <c r="I32" t="s">
        <v>117</v>
      </c>
      <c r="J32" t="s">
        <v>2106</v>
      </c>
    </row>
    <row r="33" spans="1:10" x14ac:dyDescent="0.3">
      <c r="A33" s="66" t="str">
        <f t="shared" si="0"/>
        <v>Aug 2026</v>
      </c>
      <c r="B33">
        <v>1</v>
      </c>
      <c r="C33" s="3">
        <v>46238</v>
      </c>
      <c r="D33" t="s">
        <v>2072</v>
      </c>
      <c r="E33" t="s">
        <v>2073</v>
      </c>
      <c r="F33" t="s">
        <v>157</v>
      </c>
      <c r="G33" t="s">
        <v>158</v>
      </c>
      <c r="H33" t="s">
        <v>5</v>
      </c>
      <c r="I33" t="s">
        <v>2090</v>
      </c>
      <c r="J33" t="s">
        <v>2091</v>
      </c>
    </row>
    <row r="34" spans="1:10" x14ac:dyDescent="0.3">
      <c r="A34" s="66" t="str">
        <f t="shared" si="0"/>
        <v>Aug 2026</v>
      </c>
      <c r="B34">
        <v>2</v>
      </c>
      <c r="C34" s="3">
        <v>46244</v>
      </c>
      <c r="D34" t="s">
        <v>2089</v>
      </c>
      <c r="E34" t="s">
        <v>2069</v>
      </c>
      <c r="F34" t="s">
        <v>165</v>
      </c>
      <c r="G34" t="s">
        <v>2107</v>
      </c>
      <c r="H34" t="s">
        <v>7</v>
      </c>
      <c r="I34" t="s">
        <v>117</v>
      </c>
      <c r="J34" t="s">
        <v>2108</v>
      </c>
    </row>
    <row r="35" spans="1:10" x14ac:dyDescent="0.3">
      <c r="A35" s="66" t="str">
        <f t="shared" si="0"/>
        <v>Aug 2026</v>
      </c>
      <c r="B35">
        <v>2</v>
      </c>
      <c r="C35" s="3">
        <v>46245</v>
      </c>
      <c r="D35" t="s">
        <v>2072</v>
      </c>
      <c r="E35" t="s">
        <v>2069</v>
      </c>
      <c r="F35" t="s">
        <v>175</v>
      </c>
      <c r="G35" t="s">
        <v>2109</v>
      </c>
      <c r="H35" t="s">
        <v>10</v>
      </c>
      <c r="I35" t="s">
        <v>163</v>
      </c>
      <c r="J35" t="s">
        <v>2110</v>
      </c>
    </row>
    <row r="36" spans="1:10" x14ac:dyDescent="0.3">
      <c r="A36" s="66" t="str">
        <f t="shared" si="0"/>
        <v>Aug 2026</v>
      </c>
      <c r="B36">
        <v>2</v>
      </c>
      <c r="C36" s="3">
        <v>46246</v>
      </c>
      <c r="D36" t="s">
        <v>2097</v>
      </c>
      <c r="E36" t="s">
        <v>2073</v>
      </c>
      <c r="F36" t="s">
        <v>165</v>
      </c>
      <c r="G36" t="s">
        <v>166</v>
      </c>
      <c r="H36" t="s">
        <v>7</v>
      </c>
      <c r="I36" t="s">
        <v>2074</v>
      </c>
      <c r="J36" t="s">
        <v>2081</v>
      </c>
    </row>
    <row r="37" spans="1:10" x14ac:dyDescent="0.3">
      <c r="A37" s="66" t="str">
        <f t="shared" si="0"/>
        <v>Aug 2026</v>
      </c>
      <c r="B37">
        <v>2</v>
      </c>
      <c r="C37" s="3">
        <v>46248</v>
      </c>
      <c r="D37" t="s">
        <v>2092</v>
      </c>
      <c r="E37" t="s">
        <v>2073</v>
      </c>
      <c r="F37" t="s">
        <v>175</v>
      </c>
      <c r="G37" t="s">
        <v>176</v>
      </c>
      <c r="H37" t="s">
        <v>10</v>
      </c>
      <c r="I37" t="s">
        <v>2111</v>
      </c>
      <c r="J37" t="s">
        <v>2086</v>
      </c>
    </row>
    <row r="38" spans="1:10" x14ac:dyDescent="0.3">
      <c r="A38" s="66" t="str">
        <f t="shared" si="0"/>
        <v>Aug 2026</v>
      </c>
      <c r="B38">
        <v>3</v>
      </c>
      <c r="C38" s="3">
        <v>46252</v>
      </c>
      <c r="D38" t="s">
        <v>2072</v>
      </c>
      <c r="E38" t="s">
        <v>2069</v>
      </c>
      <c r="F38" t="s">
        <v>171</v>
      </c>
      <c r="G38" t="s">
        <v>2112</v>
      </c>
      <c r="H38" t="s">
        <v>9</v>
      </c>
      <c r="I38" t="s">
        <v>117</v>
      </c>
      <c r="J38" t="s">
        <v>2113</v>
      </c>
    </row>
    <row r="39" spans="1:10" x14ac:dyDescent="0.3">
      <c r="A39" s="66" t="str">
        <f t="shared" si="0"/>
        <v>Aug 2026</v>
      </c>
      <c r="B39">
        <v>3</v>
      </c>
      <c r="C39" s="3">
        <v>46253</v>
      </c>
      <c r="D39" t="s">
        <v>2097</v>
      </c>
      <c r="E39" t="s">
        <v>2069</v>
      </c>
      <c r="F39" t="s">
        <v>178</v>
      </c>
      <c r="G39" t="s">
        <v>2114</v>
      </c>
      <c r="H39" t="s">
        <v>11</v>
      </c>
      <c r="I39" t="s">
        <v>163</v>
      </c>
      <c r="J39" t="s">
        <v>2115</v>
      </c>
    </row>
    <row r="40" spans="1:10" x14ac:dyDescent="0.3">
      <c r="A40" s="66" t="str">
        <f t="shared" si="0"/>
        <v>Aug 2026</v>
      </c>
      <c r="B40">
        <v>3</v>
      </c>
      <c r="C40" s="3">
        <v>46254</v>
      </c>
      <c r="D40" t="s">
        <v>2078</v>
      </c>
      <c r="E40" t="s">
        <v>2073</v>
      </c>
      <c r="F40" t="s">
        <v>171</v>
      </c>
      <c r="G40" t="s">
        <v>172</v>
      </c>
      <c r="H40" t="s">
        <v>9</v>
      </c>
      <c r="I40" t="s">
        <v>2074</v>
      </c>
      <c r="J40" t="s">
        <v>2081</v>
      </c>
    </row>
    <row r="41" spans="1:10" x14ac:dyDescent="0.3">
      <c r="A41" s="66" t="str">
        <f t="shared" si="0"/>
        <v>Aug 2026</v>
      </c>
      <c r="B41">
        <v>4</v>
      </c>
      <c r="C41" s="3">
        <v>46256</v>
      </c>
      <c r="D41" t="s">
        <v>2084</v>
      </c>
      <c r="E41" t="s">
        <v>2073</v>
      </c>
      <c r="F41" t="s">
        <v>178</v>
      </c>
      <c r="G41" t="s">
        <v>179</v>
      </c>
      <c r="H41" t="s">
        <v>11</v>
      </c>
      <c r="I41" t="s">
        <v>2111</v>
      </c>
      <c r="J41" t="s">
        <v>2086</v>
      </c>
    </row>
    <row r="42" spans="1:10" x14ac:dyDescent="0.3">
      <c r="A42" s="66" t="str">
        <f t="shared" si="0"/>
        <v>Aug 2026</v>
      </c>
      <c r="B42">
        <v>4</v>
      </c>
      <c r="C42" s="3">
        <v>46256</v>
      </c>
      <c r="D42" t="s">
        <v>2084</v>
      </c>
      <c r="E42" t="s">
        <v>2069</v>
      </c>
      <c r="F42" t="s">
        <v>183</v>
      </c>
      <c r="G42" t="s">
        <v>2116</v>
      </c>
      <c r="H42" t="s">
        <v>5</v>
      </c>
      <c r="I42" t="s">
        <v>117</v>
      </c>
      <c r="J42" t="s">
        <v>2117</v>
      </c>
    </row>
    <row r="43" spans="1:10" x14ac:dyDescent="0.3">
      <c r="A43" s="66" t="str">
        <f t="shared" si="0"/>
        <v>Aug 2026</v>
      </c>
      <c r="B43">
        <v>4</v>
      </c>
      <c r="C43" s="3">
        <v>46258</v>
      </c>
      <c r="D43" t="s">
        <v>2089</v>
      </c>
      <c r="E43" t="s">
        <v>2073</v>
      </c>
      <c r="F43" t="s">
        <v>183</v>
      </c>
      <c r="G43" t="s">
        <v>184</v>
      </c>
      <c r="H43" t="s">
        <v>5</v>
      </c>
      <c r="I43" t="s">
        <v>2074</v>
      </c>
      <c r="J43" t="s">
        <v>2081</v>
      </c>
    </row>
    <row r="44" spans="1:10" x14ac:dyDescent="0.3">
      <c r="A44" s="66" t="str">
        <f t="shared" ref="A44:A75" si="1">TEXT(C44,"mmm yyyy")</f>
        <v>Aug 2026</v>
      </c>
      <c r="B44">
        <v>4</v>
      </c>
      <c r="C44" s="3">
        <v>46258</v>
      </c>
      <c r="D44" t="s">
        <v>2089</v>
      </c>
      <c r="E44" t="s">
        <v>2069</v>
      </c>
      <c r="F44" t="s">
        <v>200</v>
      </c>
      <c r="G44" t="s">
        <v>2118</v>
      </c>
      <c r="H44" t="s">
        <v>10</v>
      </c>
      <c r="I44" t="s">
        <v>127</v>
      </c>
      <c r="J44" t="s">
        <v>2119</v>
      </c>
    </row>
    <row r="45" spans="1:10" x14ac:dyDescent="0.3">
      <c r="A45" s="66" t="str">
        <f t="shared" si="1"/>
        <v>Aug 2026</v>
      </c>
      <c r="B45">
        <v>4</v>
      </c>
      <c r="C45" s="3">
        <v>46260</v>
      </c>
      <c r="D45" t="s">
        <v>2097</v>
      </c>
      <c r="E45" t="s">
        <v>2073</v>
      </c>
      <c r="F45" t="s">
        <v>200</v>
      </c>
      <c r="G45" t="s">
        <v>201</v>
      </c>
      <c r="H45" t="s">
        <v>10</v>
      </c>
      <c r="I45" t="s">
        <v>2120</v>
      </c>
      <c r="J45" t="s">
        <v>2081</v>
      </c>
    </row>
    <row r="46" spans="1:10" x14ac:dyDescent="0.3">
      <c r="A46" s="66" t="str">
        <f t="shared" si="1"/>
        <v>Sep 2026</v>
      </c>
      <c r="B46">
        <v>1</v>
      </c>
      <c r="C46" s="3">
        <v>46266</v>
      </c>
      <c r="D46" t="s">
        <v>2072</v>
      </c>
      <c r="E46" t="s">
        <v>2069</v>
      </c>
      <c r="F46" t="s">
        <v>181</v>
      </c>
      <c r="G46" t="s">
        <v>2121</v>
      </c>
      <c r="H46" t="s">
        <v>12</v>
      </c>
      <c r="I46" t="s">
        <v>163</v>
      </c>
      <c r="J46" t="s">
        <v>2122</v>
      </c>
    </row>
    <row r="47" spans="1:10" x14ac:dyDescent="0.3">
      <c r="A47" s="66" t="str">
        <f t="shared" si="1"/>
        <v>Sep 2026</v>
      </c>
      <c r="B47">
        <v>1</v>
      </c>
      <c r="C47" s="3">
        <v>46269</v>
      </c>
      <c r="D47" t="s">
        <v>2092</v>
      </c>
      <c r="E47" t="s">
        <v>2123</v>
      </c>
      <c r="F47" t="s">
        <v>181</v>
      </c>
      <c r="G47" t="s">
        <v>182</v>
      </c>
      <c r="H47" t="s">
        <v>12</v>
      </c>
      <c r="I47" t="s">
        <v>2111</v>
      </c>
      <c r="J47" t="s">
        <v>1940</v>
      </c>
    </row>
    <row r="48" spans="1:10" x14ac:dyDescent="0.3">
      <c r="A48" s="66" t="str">
        <f t="shared" si="1"/>
        <v>Sep 2026</v>
      </c>
      <c r="B48">
        <v>2</v>
      </c>
      <c r="C48" s="3">
        <v>46275</v>
      </c>
      <c r="D48" t="s">
        <v>2078</v>
      </c>
      <c r="E48" t="s">
        <v>2069</v>
      </c>
      <c r="F48" t="s">
        <v>186</v>
      </c>
      <c r="G48" t="s">
        <v>2124</v>
      </c>
      <c r="H48" t="s">
        <v>6</v>
      </c>
      <c r="I48" t="s">
        <v>117</v>
      </c>
      <c r="J48" t="s">
        <v>2125</v>
      </c>
    </row>
    <row r="49" spans="1:10" x14ac:dyDescent="0.3">
      <c r="A49" s="66" t="str">
        <f t="shared" si="1"/>
        <v>Sep 2026</v>
      </c>
      <c r="B49">
        <v>2</v>
      </c>
      <c r="C49" s="3">
        <v>46277</v>
      </c>
      <c r="D49" t="s">
        <v>2084</v>
      </c>
      <c r="E49" t="s">
        <v>2073</v>
      </c>
      <c r="F49" t="s">
        <v>186</v>
      </c>
      <c r="G49" t="s">
        <v>187</v>
      </c>
      <c r="H49" t="s">
        <v>6</v>
      </c>
      <c r="I49" t="s">
        <v>2074</v>
      </c>
      <c r="J49" t="s">
        <v>2081</v>
      </c>
    </row>
    <row r="50" spans="1:10" x14ac:dyDescent="0.3">
      <c r="A50" s="66" t="str">
        <f t="shared" si="1"/>
        <v>Sep 2026</v>
      </c>
      <c r="B50">
        <v>2</v>
      </c>
      <c r="C50" s="3">
        <v>46279</v>
      </c>
      <c r="D50" t="s">
        <v>2089</v>
      </c>
      <c r="E50" t="s">
        <v>2069</v>
      </c>
      <c r="F50" t="s">
        <v>190</v>
      </c>
      <c r="G50" t="s">
        <v>2126</v>
      </c>
      <c r="H50" t="s">
        <v>7</v>
      </c>
      <c r="I50" t="s">
        <v>117</v>
      </c>
      <c r="J50" t="s">
        <v>2127</v>
      </c>
    </row>
    <row r="51" spans="1:10" x14ac:dyDescent="0.3">
      <c r="A51" s="66" t="str">
        <f t="shared" si="1"/>
        <v>Sep 2026</v>
      </c>
      <c r="B51">
        <v>3</v>
      </c>
      <c r="C51" s="3">
        <v>46281</v>
      </c>
      <c r="D51" t="s">
        <v>2097</v>
      </c>
      <c r="E51" t="s">
        <v>2073</v>
      </c>
      <c r="F51" t="s">
        <v>190</v>
      </c>
      <c r="G51" t="s">
        <v>191</v>
      </c>
      <c r="H51" t="s">
        <v>7</v>
      </c>
      <c r="I51" t="s">
        <v>2074</v>
      </c>
      <c r="J51" t="s">
        <v>2081</v>
      </c>
    </row>
    <row r="52" spans="1:10" x14ac:dyDescent="0.3">
      <c r="A52" s="66" t="str">
        <f t="shared" si="1"/>
        <v>Sep 2026</v>
      </c>
      <c r="B52">
        <v>3</v>
      </c>
      <c r="C52" s="3">
        <v>46281</v>
      </c>
      <c r="D52" t="s">
        <v>2097</v>
      </c>
      <c r="E52" t="s">
        <v>2069</v>
      </c>
      <c r="F52" t="s">
        <v>197</v>
      </c>
      <c r="G52" t="s">
        <v>2128</v>
      </c>
      <c r="H52" t="s">
        <v>9</v>
      </c>
      <c r="I52" t="s">
        <v>117</v>
      </c>
      <c r="J52" t="s">
        <v>2129</v>
      </c>
    </row>
    <row r="53" spans="1:10" x14ac:dyDescent="0.3">
      <c r="A53" s="66" t="str">
        <f t="shared" si="1"/>
        <v>Sep 2026</v>
      </c>
      <c r="B53">
        <v>3</v>
      </c>
      <c r="C53" s="3">
        <v>46283</v>
      </c>
      <c r="D53" t="s">
        <v>2092</v>
      </c>
      <c r="E53" t="s">
        <v>2069</v>
      </c>
      <c r="F53" t="s">
        <v>195</v>
      </c>
      <c r="G53" t="s">
        <v>2130</v>
      </c>
      <c r="H53" t="s">
        <v>8</v>
      </c>
      <c r="I53" t="s">
        <v>117</v>
      </c>
      <c r="J53" t="s">
        <v>2131</v>
      </c>
    </row>
    <row r="54" spans="1:10" x14ac:dyDescent="0.3">
      <c r="A54" s="66" t="str">
        <f t="shared" si="1"/>
        <v>Sep 2026</v>
      </c>
      <c r="B54">
        <v>3</v>
      </c>
      <c r="C54" s="3">
        <v>46283</v>
      </c>
      <c r="D54" t="s">
        <v>2092</v>
      </c>
      <c r="E54" t="s">
        <v>2073</v>
      </c>
      <c r="F54" t="s">
        <v>197</v>
      </c>
      <c r="G54" t="s">
        <v>198</v>
      </c>
      <c r="H54" t="s">
        <v>9</v>
      </c>
      <c r="I54" t="s">
        <v>2074</v>
      </c>
      <c r="J54" t="s">
        <v>2081</v>
      </c>
    </row>
    <row r="55" spans="1:10" x14ac:dyDescent="0.3">
      <c r="A55" s="66" t="str">
        <f t="shared" si="1"/>
        <v>Sep 2026</v>
      </c>
      <c r="B55">
        <v>3</v>
      </c>
      <c r="C55" s="3">
        <v>46283</v>
      </c>
      <c r="D55" t="s">
        <v>2092</v>
      </c>
      <c r="E55" t="s">
        <v>2069</v>
      </c>
      <c r="F55" t="s">
        <v>212</v>
      </c>
      <c r="G55" t="s">
        <v>2132</v>
      </c>
      <c r="H55" t="s">
        <v>6</v>
      </c>
      <c r="I55" t="s">
        <v>127</v>
      </c>
      <c r="J55" t="s">
        <v>2133</v>
      </c>
    </row>
    <row r="56" spans="1:10" x14ac:dyDescent="0.3">
      <c r="A56" s="66" t="str">
        <f t="shared" si="1"/>
        <v>Sep 2026</v>
      </c>
      <c r="B56">
        <v>3</v>
      </c>
      <c r="C56" s="3">
        <v>46285</v>
      </c>
      <c r="D56" t="s">
        <v>2068</v>
      </c>
      <c r="E56" t="s">
        <v>2073</v>
      </c>
      <c r="F56" t="s">
        <v>195</v>
      </c>
      <c r="G56" t="s">
        <v>196</v>
      </c>
      <c r="H56" t="s">
        <v>8</v>
      </c>
      <c r="I56" t="s">
        <v>2074</v>
      </c>
      <c r="J56" t="s">
        <v>2081</v>
      </c>
    </row>
    <row r="57" spans="1:10" x14ac:dyDescent="0.3">
      <c r="A57" s="66" t="str">
        <f t="shared" si="1"/>
        <v>Sep 2026</v>
      </c>
      <c r="B57">
        <v>3</v>
      </c>
      <c r="C57" s="3">
        <v>46285</v>
      </c>
      <c r="D57" t="s">
        <v>2068</v>
      </c>
      <c r="E57" t="s">
        <v>2073</v>
      </c>
      <c r="F57" t="s">
        <v>212</v>
      </c>
      <c r="G57" t="s">
        <v>213</v>
      </c>
      <c r="H57" t="s">
        <v>6</v>
      </c>
      <c r="I57" t="s">
        <v>2120</v>
      </c>
      <c r="J57" t="s">
        <v>2081</v>
      </c>
    </row>
    <row r="58" spans="1:10" x14ac:dyDescent="0.3">
      <c r="A58" s="66" t="str">
        <f t="shared" si="1"/>
        <v>Oct 2026</v>
      </c>
      <c r="B58">
        <v>1</v>
      </c>
      <c r="C58" s="3">
        <v>46297</v>
      </c>
      <c r="D58" t="s">
        <v>2092</v>
      </c>
      <c r="E58" t="s">
        <v>2069</v>
      </c>
      <c r="F58" t="s">
        <v>202</v>
      </c>
      <c r="G58" t="s">
        <v>2134</v>
      </c>
      <c r="H58" t="s">
        <v>11</v>
      </c>
      <c r="I58" t="s">
        <v>127</v>
      </c>
      <c r="J58" t="s">
        <v>2135</v>
      </c>
    </row>
    <row r="59" spans="1:10" x14ac:dyDescent="0.3">
      <c r="A59" s="66" t="str">
        <f t="shared" si="1"/>
        <v>Oct 2026</v>
      </c>
      <c r="B59">
        <v>1</v>
      </c>
      <c r="C59" s="3">
        <v>46299</v>
      </c>
      <c r="D59" t="s">
        <v>2068</v>
      </c>
      <c r="E59" t="s">
        <v>2073</v>
      </c>
      <c r="F59" t="s">
        <v>202</v>
      </c>
      <c r="G59" t="s">
        <v>203</v>
      </c>
      <c r="H59" t="s">
        <v>11</v>
      </c>
      <c r="I59" t="s">
        <v>2085</v>
      </c>
      <c r="J59" t="s">
        <v>2086</v>
      </c>
    </row>
    <row r="60" spans="1:10" x14ac:dyDescent="0.3">
      <c r="A60" s="66" t="str">
        <f t="shared" si="1"/>
        <v>Oct 2026</v>
      </c>
      <c r="B60">
        <v>1</v>
      </c>
      <c r="C60" s="3">
        <v>46299</v>
      </c>
      <c r="D60" t="s">
        <v>2068</v>
      </c>
      <c r="E60" t="s">
        <v>2069</v>
      </c>
      <c r="F60" t="s">
        <v>214</v>
      </c>
      <c r="G60" t="s">
        <v>2136</v>
      </c>
      <c r="H60" t="s">
        <v>7</v>
      </c>
      <c r="I60" t="s">
        <v>117</v>
      </c>
      <c r="J60" t="s">
        <v>2137</v>
      </c>
    </row>
    <row r="61" spans="1:10" x14ac:dyDescent="0.3">
      <c r="A61" s="66" t="str">
        <f t="shared" si="1"/>
        <v>Oct 2026</v>
      </c>
      <c r="B61">
        <v>1</v>
      </c>
      <c r="C61" s="3">
        <v>46301</v>
      </c>
      <c r="D61" t="s">
        <v>2072</v>
      </c>
      <c r="E61" t="s">
        <v>2069</v>
      </c>
      <c r="F61" t="s">
        <v>207</v>
      </c>
      <c r="G61" t="s">
        <v>2138</v>
      </c>
      <c r="H61" t="s">
        <v>12</v>
      </c>
      <c r="I61" t="s">
        <v>117</v>
      </c>
      <c r="J61" t="s">
        <v>2139</v>
      </c>
    </row>
    <row r="62" spans="1:10" x14ac:dyDescent="0.3">
      <c r="A62" s="66" t="str">
        <f t="shared" si="1"/>
        <v>Oct 2026</v>
      </c>
      <c r="B62">
        <v>1</v>
      </c>
      <c r="C62" s="3">
        <v>46301</v>
      </c>
      <c r="D62" t="s">
        <v>2072</v>
      </c>
      <c r="E62" t="s">
        <v>2073</v>
      </c>
      <c r="F62" t="s">
        <v>214</v>
      </c>
      <c r="G62" t="s">
        <v>215</v>
      </c>
      <c r="H62" t="s">
        <v>7</v>
      </c>
      <c r="I62" t="s">
        <v>2074</v>
      </c>
      <c r="J62" t="s">
        <v>2081</v>
      </c>
    </row>
    <row r="63" spans="1:10" x14ac:dyDescent="0.3">
      <c r="A63" s="66" t="str">
        <f t="shared" si="1"/>
        <v>Oct 2026</v>
      </c>
      <c r="B63">
        <v>2</v>
      </c>
      <c r="C63" s="3">
        <v>46303</v>
      </c>
      <c r="D63" t="s">
        <v>2078</v>
      </c>
      <c r="E63" t="s">
        <v>2073</v>
      </c>
      <c r="F63" t="s">
        <v>207</v>
      </c>
      <c r="G63" t="s">
        <v>208</v>
      </c>
      <c r="H63" t="s">
        <v>12</v>
      </c>
      <c r="I63" t="s">
        <v>2074</v>
      </c>
      <c r="J63" t="s">
        <v>2081</v>
      </c>
    </row>
    <row r="64" spans="1:10" x14ac:dyDescent="0.3">
      <c r="A64" s="66" t="str">
        <f t="shared" si="1"/>
        <v>Oct 2026</v>
      </c>
      <c r="B64">
        <v>2</v>
      </c>
      <c r="C64" s="3">
        <v>46305</v>
      </c>
      <c r="D64" t="s">
        <v>2084</v>
      </c>
      <c r="E64" t="s">
        <v>2069</v>
      </c>
      <c r="F64" t="s">
        <v>209</v>
      </c>
      <c r="G64" t="s">
        <v>2140</v>
      </c>
      <c r="H64" t="s">
        <v>5</v>
      </c>
      <c r="I64" t="s">
        <v>127</v>
      </c>
      <c r="J64" t="s">
        <v>2141</v>
      </c>
    </row>
    <row r="65" spans="1:10" x14ac:dyDescent="0.3">
      <c r="A65" s="66" t="str">
        <f t="shared" si="1"/>
        <v>Oct 2026</v>
      </c>
      <c r="B65">
        <v>2</v>
      </c>
      <c r="C65" s="3">
        <v>46307</v>
      </c>
      <c r="D65" t="s">
        <v>2089</v>
      </c>
      <c r="E65" t="s">
        <v>2123</v>
      </c>
      <c r="F65" t="s">
        <v>209</v>
      </c>
      <c r="G65" t="s">
        <v>210</v>
      </c>
      <c r="H65" t="s">
        <v>5</v>
      </c>
      <c r="I65" t="s">
        <v>2142</v>
      </c>
      <c r="J65" t="s">
        <v>1941</v>
      </c>
    </row>
    <row r="66" spans="1:10" x14ac:dyDescent="0.3">
      <c r="A66" s="66" t="str">
        <f t="shared" si="1"/>
        <v>Oct 2026</v>
      </c>
      <c r="B66">
        <v>3</v>
      </c>
      <c r="C66" s="3">
        <v>46316</v>
      </c>
      <c r="D66" t="s">
        <v>2097</v>
      </c>
      <c r="E66" t="s">
        <v>2069</v>
      </c>
      <c r="F66" t="s">
        <v>217</v>
      </c>
      <c r="G66" t="s">
        <v>2143</v>
      </c>
      <c r="H66" t="s">
        <v>8</v>
      </c>
      <c r="I66" t="s">
        <v>163</v>
      </c>
      <c r="J66" t="s">
        <v>2144</v>
      </c>
    </row>
    <row r="67" spans="1:10" x14ac:dyDescent="0.3">
      <c r="A67" s="66" t="str">
        <f t="shared" si="1"/>
        <v>Oct 2026</v>
      </c>
      <c r="B67">
        <v>4</v>
      </c>
      <c r="C67" s="3">
        <v>46319</v>
      </c>
      <c r="D67" t="s">
        <v>2084</v>
      </c>
      <c r="E67" t="s">
        <v>2073</v>
      </c>
      <c r="F67" t="s">
        <v>217</v>
      </c>
      <c r="G67" t="s">
        <v>218</v>
      </c>
      <c r="H67" t="s">
        <v>8</v>
      </c>
      <c r="I67" t="s">
        <v>2111</v>
      </c>
      <c r="J67" t="s">
        <v>2086</v>
      </c>
    </row>
    <row r="68" spans="1:10" x14ac:dyDescent="0.3">
      <c r="A68" s="66" t="str">
        <f t="shared" si="1"/>
        <v>Oct 2026</v>
      </c>
      <c r="B68">
        <v>5</v>
      </c>
      <c r="C68" s="3">
        <v>46324</v>
      </c>
      <c r="D68" t="s">
        <v>2078</v>
      </c>
      <c r="E68" t="s">
        <v>2069</v>
      </c>
      <c r="F68" t="s">
        <v>219</v>
      </c>
      <c r="G68" t="s">
        <v>2145</v>
      </c>
      <c r="H68" t="s">
        <v>9</v>
      </c>
      <c r="I68" t="s">
        <v>127</v>
      </c>
      <c r="J68" t="s">
        <v>2146</v>
      </c>
    </row>
    <row r="69" spans="1:10" x14ac:dyDescent="0.3">
      <c r="A69" s="66" t="str">
        <f t="shared" si="1"/>
        <v>Oct 2026</v>
      </c>
      <c r="B69">
        <v>5</v>
      </c>
      <c r="C69" s="3">
        <v>46326</v>
      </c>
      <c r="D69" t="s">
        <v>2084</v>
      </c>
      <c r="E69" t="s">
        <v>2073</v>
      </c>
      <c r="F69" t="s">
        <v>219</v>
      </c>
      <c r="G69" t="s">
        <v>220</v>
      </c>
      <c r="H69" t="s">
        <v>9</v>
      </c>
      <c r="I69" t="s">
        <v>2142</v>
      </c>
      <c r="J69" t="s">
        <v>2091</v>
      </c>
    </row>
    <row r="70" spans="1:10" x14ac:dyDescent="0.3">
      <c r="A70" s="66" t="str">
        <f t="shared" si="1"/>
        <v>Nov 2026</v>
      </c>
      <c r="B70">
        <v>1</v>
      </c>
      <c r="C70" s="3">
        <v>46328</v>
      </c>
      <c r="D70" t="s">
        <v>2089</v>
      </c>
      <c r="E70" t="s">
        <v>2069</v>
      </c>
      <c r="F70" t="s">
        <v>221</v>
      </c>
      <c r="G70" t="s">
        <v>2147</v>
      </c>
      <c r="H70" t="s">
        <v>10</v>
      </c>
      <c r="I70" t="s">
        <v>127</v>
      </c>
      <c r="J70" t="s">
        <v>2148</v>
      </c>
    </row>
    <row r="71" spans="1:10" x14ac:dyDescent="0.3">
      <c r="A71" s="66" t="str">
        <f t="shared" si="1"/>
        <v>Nov 2026</v>
      </c>
      <c r="B71">
        <v>1</v>
      </c>
      <c r="C71" s="3">
        <v>46330</v>
      </c>
      <c r="D71" t="s">
        <v>2097</v>
      </c>
      <c r="E71" t="s">
        <v>2073</v>
      </c>
      <c r="F71" t="s">
        <v>221</v>
      </c>
      <c r="G71" t="s">
        <v>222</v>
      </c>
      <c r="H71" t="s">
        <v>10</v>
      </c>
      <c r="I71" t="s">
        <v>2085</v>
      </c>
      <c r="J71" t="s">
        <v>2086</v>
      </c>
    </row>
    <row r="72" spans="1:10" x14ac:dyDescent="0.3">
      <c r="A72" s="66" t="str">
        <f t="shared" si="1"/>
        <v>Nov 2026</v>
      </c>
      <c r="B72">
        <v>1</v>
      </c>
      <c r="C72" s="3">
        <v>46332</v>
      </c>
      <c r="D72" t="s">
        <v>2092</v>
      </c>
      <c r="E72" t="s">
        <v>2069</v>
      </c>
      <c r="F72" t="s">
        <v>224</v>
      </c>
      <c r="G72" t="s">
        <v>2149</v>
      </c>
      <c r="H72" t="s">
        <v>11</v>
      </c>
      <c r="I72" t="s">
        <v>117</v>
      </c>
      <c r="J72" t="s">
        <v>2150</v>
      </c>
    </row>
    <row r="73" spans="1:10" x14ac:dyDescent="0.3">
      <c r="A73" s="66" t="str">
        <f t="shared" si="1"/>
        <v>Nov 2026</v>
      </c>
      <c r="B73">
        <v>2</v>
      </c>
      <c r="C73" s="3">
        <v>46334</v>
      </c>
      <c r="D73" t="s">
        <v>2068</v>
      </c>
      <c r="E73" t="s">
        <v>2123</v>
      </c>
      <c r="F73" t="s">
        <v>224</v>
      </c>
      <c r="G73" t="s">
        <v>225</v>
      </c>
      <c r="H73" t="s">
        <v>11</v>
      </c>
      <c r="I73" t="s">
        <v>2074</v>
      </c>
      <c r="J73" t="s">
        <v>1942</v>
      </c>
    </row>
    <row r="74" spans="1:10" x14ac:dyDescent="0.3">
      <c r="A74" s="66" t="str">
        <f t="shared" si="1"/>
        <v>Nov 2026</v>
      </c>
      <c r="B74">
        <v>2</v>
      </c>
      <c r="C74" s="3">
        <v>46336</v>
      </c>
      <c r="D74" t="s">
        <v>2072</v>
      </c>
      <c r="E74" t="s">
        <v>2069</v>
      </c>
      <c r="F74" t="s">
        <v>226</v>
      </c>
      <c r="G74" t="s">
        <v>2151</v>
      </c>
      <c r="H74" t="s">
        <v>12</v>
      </c>
      <c r="I74" t="s">
        <v>117</v>
      </c>
      <c r="J74" t="s">
        <v>2152</v>
      </c>
    </row>
    <row r="75" spans="1:10" x14ac:dyDescent="0.3">
      <c r="A75" s="66" t="str">
        <f t="shared" si="1"/>
        <v>Nov 2026</v>
      </c>
      <c r="B75">
        <v>2</v>
      </c>
      <c r="C75" s="3">
        <v>46338</v>
      </c>
      <c r="D75" t="s">
        <v>2078</v>
      </c>
      <c r="E75" t="s">
        <v>2073</v>
      </c>
      <c r="F75" t="s">
        <v>226</v>
      </c>
      <c r="G75" t="s">
        <v>227</v>
      </c>
      <c r="H75" t="s">
        <v>12</v>
      </c>
      <c r="I75" t="s">
        <v>2074</v>
      </c>
      <c r="J75" t="s">
        <v>2081</v>
      </c>
    </row>
    <row r="76" spans="1:10" x14ac:dyDescent="0.3">
      <c r="A76" s="66" t="str">
        <f t="shared" ref="A76:A107" si="2">TEXT(C76,"mmm yyyy")</f>
        <v>Nov 2026</v>
      </c>
      <c r="B76">
        <v>2</v>
      </c>
      <c r="C76" s="3">
        <v>46339</v>
      </c>
      <c r="D76" t="s">
        <v>2092</v>
      </c>
      <c r="E76" t="s">
        <v>2069</v>
      </c>
      <c r="F76" t="s">
        <v>228</v>
      </c>
      <c r="G76" t="s">
        <v>2153</v>
      </c>
      <c r="H76" t="s">
        <v>5</v>
      </c>
      <c r="I76" t="s">
        <v>163</v>
      </c>
      <c r="J76" t="s">
        <v>2154</v>
      </c>
    </row>
    <row r="77" spans="1:10" x14ac:dyDescent="0.3">
      <c r="A77" s="66" t="str">
        <f t="shared" si="2"/>
        <v>Nov 2026</v>
      </c>
      <c r="B77">
        <v>3</v>
      </c>
      <c r="C77" s="3">
        <v>46342</v>
      </c>
      <c r="D77" t="s">
        <v>2089</v>
      </c>
      <c r="E77" t="s">
        <v>2073</v>
      </c>
      <c r="F77" t="s">
        <v>228</v>
      </c>
      <c r="G77" t="s">
        <v>229</v>
      </c>
      <c r="H77" t="s">
        <v>5</v>
      </c>
      <c r="I77" t="s">
        <v>2102</v>
      </c>
      <c r="J77" t="s">
        <v>2091</v>
      </c>
    </row>
    <row r="78" spans="1:10" x14ac:dyDescent="0.3">
      <c r="A78" s="66" t="str">
        <f t="shared" si="2"/>
        <v>Nov 2026</v>
      </c>
      <c r="B78">
        <v>3</v>
      </c>
      <c r="C78" s="3">
        <v>46344</v>
      </c>
      <c r="D78" t="s">
        <v>2097</v>
      </c>
      <c r="E78" t="s">
        <v>2069</v>
      </c>
      <c r="F78" t="s">
        <v>230</v>
      </c>
      <c r="G78" t="s">
        <v>2155</v>
      </c>
      <c r="H78" t="s">
        <v>6</v>
      </c>
      <c r="I78" t="s">
        <v>127</v>
      </c>
      <c r="J78" t="s">
        <v>2156</v>
      </c>
    </row>
    <row r="79" spans="1:10" x14ac:dyDescent="0.3">
      <c r="A79" s="66" t="str">
        <f t="shared" si="2"/>
        <v>Nov 2026</v>
      </c>
      <c r="B79">
        <v>3</v>
      </c>
      <c r="C79" s="3">
        <v>46346</v>
      </c>
      <c r="D79" t="s">
        <v>2092</v>
      </c>
      <c r="E79" t="s">
        <v>2073</v>
      </c>
      <c r="F79" t="s">
        <v>230</v>
      </c>
      <c r="G79" t="s">
        <v>231</v>
      </c>
      <c r="H79" t="s">
        <v>6</v>
      </c>
      <c r="I79" t="s">
        <v>2120</v>
      </c>
      <c r="J79" t="s">
        <v>2081</v>
      </c>
    </row>
    <row r="80" spans="1:10" x14ac:dyDescent="0.3">
      <c r="A80" s="66" t="str">
        <f t="shared" si="2"/>
        <v>Nov 2026</v>
      </c>
      <c r="B80">
        <v>4</v>
      </c>
      <c r="C80" s="3">
        <v>46348</v>
      </c>
      <c r="D80" t="s">
        <v>2068</v>
      </c>
      <c r="E80" t="s">
        <v>2069</v>
      </c>
      <c r="F80" t="s">
        <v>232</v>
      </c>
      <c r="G80" t="s">
        <v>2157</v>
      </c>
      <c r="H80" t="s">
        <v>7</v>
      </c>
      <c r="I80" t="s">
        <v>117</v>
      </c>
      <c r="J80" t="s">
        <v>2158</v>
      </c>
    </row>
    <row r="81" spans="1:10" x14ac:dyDescent="0.3">
      <c r="A81" s="66" t="str">
        <f t="shared" si="2"/>
        <v>Nov 2026</v>
      </c>
      <c r="B81">
        <v>4</v>
      </c>
      <c r="C81" s="3">
        <v>46350</v>
      </c>
      <c r="D81" t="s">
        <v>2072</v>
      </c>
      <c r="E81" t="s">
        <v>2073</v>
      </c>
      <c r="F81" t="s">
        <v>232</v>
      </c>
      <c r="G81" t="s">
        <v>233</v>
      </c>
      <c r="H81" t="s">
        <v>7</v>
      </c>
      <c r="I81" t="s">
        <v>2090</v>
      </c>
      <c r="J81" t="s">
        <v>2091</v>
      </c>
    </row>
    <row r="82" spans="1:10" x14ac:dyDescent="0.3">
      <c r="A82" s="66" t="str">
        <f t="shared" si="2"/>
        <v>Nov 2026</v>
      </c>
      <c r="B82">
        <v>4</v>
      </c>
      <c r="C82" s="3">
        <v>46354</v>
      </c>
      <c r="D82" t="s">
        <v>2084</v>
      </c>
      <c r="E82" t="s">
        <v>2069</v>
      </c>
      <c r="F82" t="s">
        <v>234</v>
      </c>
      <c r="G82" t="s">
        <v>2159</v>
      </c>
      <c r="H82" t="s">
        <v>8</v>
      </c>
      <c r="I82" t="s">
        <v>117</v>
      </c>
      <c r="J82" t="s">
        <v>2160</v>
      </c>
    </row>
    <row r="83" spans="1:10" x14ac:dyDescent="0.3">
      <c r="A83" s="66" t="str">
        <f t="shared" si="2"/>
        <v>Nov 2026</v>
      </c>
      <c r="B83">
        <v>5</v>
      </c>
      <c r="C83" s="3">
        <v>46356</v>
      </c>
      <c r="D83" t="s">
        <v>2089</v>
      </c>
      <c r="E83" t="s">
        <v>2073</v>
      </c>
      <c r="F83" t="s">
        <v>234</v>
      </c>
      <c r="G83" t="s">
        <v>235</v>
      </c>
      <c r="H83" t="s">
        <v>8</v>
      </c>
      <c r="I83" t="s">
        <v>2074</v>
      </c>
      <c r="J83" t="s">
        <v>2081</v>
      </c>
    </row>
    <row r="84" spans="1:10" x14ac:dyDescent="0.3">
      <c r="A84" s="66" t="str">
        <f t="shared" si="2"/>
        <v>Dec 2026</v>
      </c>
      <c r="B84">
        <v>1</v>
      </c>
      <c r="C84" s="3">
        <v>46357</v>
      </c>
      <c r="D84" t="s">
        <v>2072</v>
      </c>
      <c r="E84" t="s">
        <v>2069</v>
      </c>
      <c r="F84" t="s">
        <v>236</v>
      </c>
      <c r="G84" t="s">
        <v>2161</v>
      </c>
      <c r="H84" t="s">
        <v>9</v>
      </c>
      <c r="I84" t="s">
        <v>163</v>
      </c>
      <c r="J84" t="s">
        <v>2162</v>
      </c>
    </row>
    <row r="85" spans="1:10" x14ac:dyDescent="0.3">
      <c r="A85" s="66" t="str">
        <f t="shared" si="2"/>
        <v>Dec 2026</v>
      </c>
      <c r="B85">
        <v>1</v>
      </c>
      <c r="C85" s="3">
        <v>46360</v>
      </c>
      <c r="D85" t="s">
        <v>2092</v>
      </c>
      <c r="E85" t="s">
        <v>2073</v>
      </c>
      <c r="F85" t="s">
        <v>236</v>
      </c>
      <c r="G85" t="s">
        <v>237</v>
      </c>
      <c r="H85" t="s">
        <v>9</v>
      </c>
      <c r="I85" t="s">
        <v>2111</v>
      </c>
      <c r="J85" t="s">
        <v>2086</v>
      </c>
    </row>
    <row r="86" spans="1:10" x14ac:dyDescent="0.3">
      <c r="A86" s="66" t="str">
        <f t="shared" si="2"/>
        <v>Dec 2026</v>
      </c>
      <c r="B86">
        <v>1</v>
      </c>
      <c r="C86" s="3">
        <v>46362</v>
      </c>
      <c r="D86" t="s">
        <v>2068</v>
      </c>
      <c r="E86" t="s">
        <v>2069</v>
      </c>
      <c r="F86" t="s">
        <v>239</v>
      </c>
      <c r="G86" t="s">
        <v>2163</v>
      </c>
      <c r="H86" t="s">
        <v>10</v>
      </c>
      <c r="I86" t="s">
        <v>117</v>
      </c>
      <c r="J86" t="s">
        <v>2164</v>
      </c>
    </row>
    <row r="87" spans="1:10" x14ac:dyDescent="0.3">
      <c r="A87" s="66" t="str">
        <f t="shared" si="2"/>
        <v>Dec 2026</v>
      </c>
      <c r="B87">
        <v>2</v>
      </c>
      <c r="C87" s="3">
        <v>46364</v>
      </c>
      <c r="D87" t="s">
        <v>2072</v>
      </c>
      <c r="E87" t="s">
        <v>2073</v>
      </c>
      <c r="F87" t="s">
        <v>239</v>
      </c>
      <c r="G87" t="s">
        <v>240</v>
      </c>
      <c r="H87" t="s">
        <v>10</v>
      </c>
      <c r="I87" t="s">
        <v>2074</v>
      </c>
      <c r="J87" t="s">
        <v>2081</v>
      </c>
    </row>
    <row r="88" spans="1:10" x14ac:dyDescent="0.3">
      <c r="A88" s="66" t="str">
        <f t="shared" si="2"/>
        <v>Dec 2026</v>
      </c>
      <c r="B88">
        <v>2</v>
      </c>
      <c r="C88" s="3">
        <v>46365</v>
      </c>
      <c r="D88" t="s">
        <v>2097</v>
      </c>
      <c r="E88" t="s">
        <v>2069</v>
      </c>
      <c r="F88" t="s">
        <v>242</v>
      </c>
      <c r="G88" t="s">
        <v>2165</v>
      </c>
      <c r="H88" t="s">
        <v>11</v>
      </c>
      <c r="I88" t="s">
        <v>163</v>
      </c>
      <c r="J88" t="s">
        <v>2166</v>
      </c>
    </row>
    <row r="89" spans="1:10" x14ac:dyDescent="0.3">
      <c r="A89" s="66" t="str">
        <f t="shared" si="2"/>
        <v>Dec 2026</v>
      </c>
      <c r="B89">
        <v>2</v>
      </c>
      <c r="C89" s="3">
        <v>46368</v>
      </c>
      <c r="D89" t="s">
        <v>2084</v>
      </c>
      <c r="E89" t="s">
        <v>2073</v>
      </c>
      <c r="F89" t="s">
        <v>242</v>
      </c>
      <c r="G89" t="s">
        <v>243</v>
      </c>
      <c r="H89" t="s">
        <v>11</v>
      </c>
      <c r="I89" t="s">
        <v>2111</v>
      </c>
      <c r="J89" t="s">
        <v>2086</v>
      </c>
    </row>
    <row r="90" spans="1:10" x14ac:dyDescent="0.3">
      <c r="A90" s="66" t="str">
        <f t="shared" si="2"/>
        <v>Dec 2026</v>
      </c>
      <c r="B90">
        <v>2</v>
      </c>
      <c r="C90" s="3">
        <v>46369</v>
      </c>
      <c r="D90" t="s">
        <v>2068</v>
      </c>
      <c r="E90" t="s">
        <v>2167</v>
      </c>
      <c r="F90" t="s">
        <v>2168</v>
      </c>
      <c r="G90" t="s">
        <v>2169</v>
      </c>
      <c r="H90" t="s">
        <v>2170</v>
      </c>
      <c r="I90" t="s">
        <v>2171</v>
      </c>
      <c r="J90" t="s">
        <v>2172</v>
      </c>
    </row>
    <row r="91" spans="1:10" x14ac:dyDescent="0.3">
      <c r="A91" s="66" t="str">
        <f t="shared" si="2"/>
        <v>Dec 2026</v>
      </c>
      <c r="B91">
        <v>2</v>
      </c>
      <c r="C91" s="3">
        <v>46370</v>
      </c>
      <c r="D91" t="s">
        <v>2089</v>
      </c>
      <c r="E91" t="s">
        <v>2069</v>
      </c>
      <c r="F91" t="s">
        <v>246</v>
      </c>
      <c r="G91" t="s">
        <v>2173</v>
      </c>
      <c r="H91" t="s">
        <v>12</v>
      </c>
      <c r="I91" t="s">
        <v>117</v>
      </c>
      <c r="J91" t="s">
        <v>2174</v>
      </c>
    </row>
    <row r="92" spans="1:10" x14ac:dyDescent="0.3">
      <c r="A92" s="66" t="str">
        <f t="shared" si="2"/>
        <v>Dec 2026</v>
      </c>
      <c r="B92">
        <v>3</v>
      </c>
      <c r="C92" s="3">
        <v>46372</v>
      </c>
      <c r="D92" t="s">
        <v>2097</v>
      </c>
      <c r="E92" t="s">
        <v>2123</v>
      </c>
      <c r="F92" t="s">
        <v>246</v>
      </c>
      <c r="G92" t="s">
        <v>247</v>
      </c>
      <c r="H92" t="s">
        <v>12</v>
      </c>
      <c r="I92" t="s">
        <v>2074</v>
      </c>
      <c r="J92" t="s">
        <v>1940</v>
      </c>
    </row>
    <row r="93" spans="1:10" x14ac:dyDescent="0.3">
      <c r="A93" s="66" t="str">
        <f t="shared" si="2"/>
        <v>Dec 2026</v>
      </c>
      <c r="B93">
        <v>3</v>
      </c>
      <c r="C93" s="3">
        <v>46374</v>
      </c>
      <c r="D93" t="s">
        <v>2092</v>
      </c>
      <c r="E93" t="s">
        <v>2069</v>
      </c>
      <c r="F93" t="s">
        <v>249</v>
      </c>
      <c r="G93" t="s">
        <v>2175</v>
      </c>
      <c r="H93" t="s">
        <v>5</v>
      </c>
      <c r="I93" t="s">
        <v>117</v>
      </c>
      <c r="J93" t="s">
        <v>2176</v>
      </c>
    </row>
    <row r="94" spans="1:10" x14ac:dyDescent="0.3">
      <c r="A94" s="66" t="str">
        <f t="shared" si="2"/>
        <v>Dec 2026</v>
      </c>
      <c r="B94">
        <v>3</v>
      </c>
      <c r="C94" s="3">
        <v>46376</v>
      </c>
      <c r="D94" t="s">
        <v>2068</v>
      </c>
      <c r="E94" t="s">
        <v>2073</v>
      </c>
      <c r="F94" t="s">
        <v>249</v>
      </c>
      <c r="G94" t="s">
        <v>250</v>
      </c>
      <c r="H94" t="s">
        <v>5</v>
      </c>
      <c r="I94" t="s">
        <v>2074</v>
      </c>
      <c r="J94" t="s">
        <v>2177</v>
      </c>
    </row>
    <row r="95" spans="1:10" x14ac:dyDescent="0.3">
      <c r="A95" s="66" t="str">
        <f t="shared" si="2"/>
        <v>Dec 2026</v>
      </c>
      <c r="B95">
        <v>3</v>
      </c>
      <c r="C95" s="3">
        <v>46377</v>
      </c>
      <c r="D95" t="s">
        <v>2089</v>
      </c>
      <c r="E95" t="s">
        <v>2069</v>
      </c>
      <c r="F95" t="s">
        <v>253</v>
      </c>
      <c r="G95" t="s">
        <v>2178</v>
      </c>
      <c r="H95" t="s">
        <v>7</v>
      </c>
      <c r="I95" t="s">
        <v>127</v>
      </c>
      <c r="J95" t="s">
        <v>2179</v>
      </c>
    </row>
    <row r="96" spans="1:10" x14ac:dyDescent="0.3">
      <c r="A96" s="66" t="str">
        <f t="shared" si="2"/>
        <v>Dec 2026</v>
      </c>
      <c r="B96">
        <v>4</v>
      </c>
      <c r="C96" s="3">
        <v>46378</v>
      </c>
      <c r="D96" t="s">
        <v>2072</v>
      </c>
      <c r="E96" t="s">
        <v>2069</v>
      </c>
      <c r="F96" t="s">
        <v>251</v>
      </c>
      <c r="G96" t="s">
        <v>2180</v>
      </c>
      <c r="H96" t="s">
        <v>6</v>
      </c>
      <c r="I96" t="s">
        <v>127</v>
      </c>
      <c r="J96" t="s">
        <v>2181</v>
      </c>
    </row>
    <row r="97" spans="1:10" x14ac:dyDescent="0.3">
      <c r="A97" s="66" t="str">
        <f t="shared" si="2"/>
        <v>Dec 2026</v>
      </c>
      <c r="B97">
        <v>4</v>
      </c>
      <c r="C97" s="3">
        <v>46379</v>
      </c>
      <c r="D97" t="s">
        <v>2097</v>
      </c>
      <c r="E97" t="s">
        <v>2073</v>
      </c>
      <c r="F97" t="s">
        <v>253</v>
      </c>
      <c r="G97" t="s">
        <v>254</v>
      </c>
      <c r="H97" t="s">
        <v>7</v>
      </c>
      <c r="I97" t="s">
        <v>2142</v>
      </c>
      <c r="J97" t="s">
        <v>2182</v>
      </c>
    </row>
    <row r="98" spans="1:10" x14ac:dyDescent="0.3">
      <c r="A98" s="66" t="str">
        <f t="shared" si="2"/>
        <v>Dec 2026</v>
      </c>
      <c r="B98">
        <v>4</v>
      </c>
      <c r="C98" s="3">
        <v>46380</v>
      </c>
      <c r="D98" t="s">
        <v>2078</v>
      </c>
      <c r="E98" t="s">
        <v>2183</v>
      </c>
      <c r="F98" t="s">
        <v>251</v>
      </c>
      <c r="G98" t="s">
        <v>252</v>
      </c>
      <c r="H98" t="s">
        <v>6</v>
      </c>
      <c r="I98" t="s">
        <v>2142</v>
      </c>
      <c r="J98" t="s">
        <v>1937</v>
      </c>
    </row>
    <row r="99" spans="1:10" x14ac:dyDescent="0.3">
      <c r="A99" s="66" t="str">
        <f t="shared" si="2"/>
        <v>Dec 2026</v>
      </c>
      <c r="B99">
        <v>5</v>
      </c>
      <c r="C99" s="3">
        <v>46387</v>
      </c>
      <c r="D99" t="s">
        <v>2078</v>
      </c>
      <c r="E99" t="s">
        <v>2167</v>
      </c>
      <c r="F99" t="s">
        <v>2168</v>
      </c>
      <c r="G99" t="s">
        <v>2184</v>
      </c>
      <c r="H99" t="s">
        <v>2170</v>
      </c>
      <c r="I99" t="s">
        <v>2171</v>
      </c>
      <c r="J99" t="s">
        <v>2172</v>
      </c>
    </row>
    <row r="100" spans="1:10" x14ac:dyDescent="0.3">
      <c r="A100" s="66" t="str">
        <f t="shared" si="2"/>
        <v>Jan 2027</v>
      </c>
      <c r="B100">
        <v>1</v>
      </c>
      <c r="C100" s="3">
        <v>46389</v>
      </c>
      <c r="D100" t="s">
        <v>2084</v>
      </c>
      <c r="E100" t="s">
        <v>2069</v>
      </c>
      <c r="F100" t="s">
        <v>255</v>
      </c>
      <c r="G100" t="s">
        <v>2185</v>
      </c>
      <c r="H100" t="s">
        <v>8</v>
      </c>
      <c r="I100" t="s">
        <v>127</v>
      </c>
      <c r="J100" t="s">
        <v>2186</v>
      </c>
    </row>
    <row r="101" spans="1:10" x14ac:dyDescent="0.3">
      <c r="A101" s="66" t="str">
        <f t="shared" si="2"/>
        <v>Jan 2027</v>
      </c>
      <c r="B101">
        <v>1</v>
      </c>
      <c r="C101" s="3">
        <v>46391</v>
      </c>
      <c r="D101" t="s">
        <v>2089</v>
      </c>
      <c r="E101" t="s">
        <v>2073</v>
      </c>
      <c r="F101" t="s">
        <v>255</v>
      </c>
      <c r="G101" t="s">
        <v>256</v>
      </c>
      <c r="H101" t="s">
        <v>8</v>
      </c>
      <c r="I101" t="s">
        <v>2085</v>
      </c>
      <c r="J101" t="s">
        <v>2187</v>
      </c>
    </row>
    <row r="102" spans="1:10" x14ac:dyDescent="0.3">
      <c r="A102" s="66" t="str">
        <f t="shared" si="2"/>
        <v>Jan 2027</v>
      </c>
      <c r="B102">
        <v>1</v>
      </c>
      <c r="C102" s="3">
        <v>46392</v>
      </c>
      <c r="D102" t="s">
        <v>2072</v>
      </c>
      <c r="E102" t="s">
        <v>2069</v>
      </c>
      <c r="F102" t="s">
        <v>258</v>
      </c>
      <c r="G102" t="s">
        <v>2188</v>
      </c>
      <c r="H102" t="s">
        <v>9</v>
      </c>
      <c r="I102" t="s">
        <v>163</v>
      </c>
      <c r="J102" t="s">
        <v>2189</v>
      </c>
    </row>
    <row r="103" spans="1:10" x14ac:dyDescent="0.3">
      <c r="A103" s="66" t="str">
        <f t="shared" si="2"/>
        <v>Jan 2027</v>
      </c>
      <c r="B103">
        <v>2</v>
      </c>
      <c r="C103" s="3">
        <v>46395</v>
      </c>
      <c r="D103" t="s">
        <v>2092</v>
      </c>
      <c r="E103" t="s">
        <v>2073</v>
      </c>
      <c r="F103" t="s">
        <v>258</v>
      </c>
      <c r="G103" t="s">
        <v>259</v>
      </c>
      <c r="H103" t="s">
        <v>9</v>
      </c>
      <c r="I103" t="s">
        <v>2111</v>
      </c>
      <c r="J103" t="s">
        <v>2086</v>
      </c>
    </row>
    <row r="104" spans="1:10" x14ac:dyDescent="0.3">
      <c r="A104" s="66" t="str">
        <f t="shared" si="2"/>
        <v>Jan 2027</v>
      </c>
      <c r="B104">
        <v>2</v>
      </c>
      <c r="C104" s="3">
        <v>46397</v>
      </c>
      <c r="D104" t="s">
        <v>2068</v>
      </c>
      <c r="E104" t="s">
        <v>2069</v>
      </c>
      <c r="F104" t="s">
        <v>260</v>
      </c>
      <c r="G104" t="s">
        <v>2190</v>
      </c>
      <c r="H104" t="s">
        <v>10</v>
      </c>
      <c r="I104" t="s">
        <v>117</v>
      </c>
      <c r="J104" t="s">
        <v>2191</v>
      </c>
    </row>
    <row r="105" spans="1:10" x14ac:dyDescent="0.3">
      <c r="A105" s="66" t="str">
        <f t="shared" si="2"/>
        <v>Jan 2027</v>
      </c>
      <c r="B105">
        <v>2</v>
      </c>
      <c r="C105" s="3">
        <v>46399</v>
      </c>
      <c r="D105" t="s">
        <v>2072</v>
      </c>
      <c r="E105" t="s">
        <v>2073</v>
      </c>
      <c r="F105" t="s">
        <v>260</v>
      </c>
      <c r="G105" t="s">
        <v>261</v>
      </c>
      <c r="H105" t="s">
        <v>10</v>
      </c>
      <c r="I105" t="s">
        <v>2074</v>
      </c>
      <c r="J105" t="s">
        <v>2081</v>
      </c>
    </row>
    <row r="106" spans="1:10" x14ac:dyDescent="0.3">
      <c r="A106" s="66" t="str">
        <f t="shared" si="2"/>
        <v>Jan 2027</v>
      </c>
      <c r="B106">
        <v>2</v>
      </c>
      <c r="C106" s="3">
        <v>46401</v>
      </c>
      <c r="D106" t="s">
        <v>2078</v>
      </c>
      <c r="E106" t="s">
        <v>2069</v>
      </c>
      <c r="F106" t="s">
        <v>263</v>
      </c>
      <c r="G106" t="s">
        <v>2192</v>
      </c>
      <c r="H106" t="s">
        <v>11</v>
      </c>
      <c r="I106" t="s">
        <v>127</v>
      </c>
      <c r="J106" t="s">
        <v>2193</v>
      </c>
    </row>
    <row r="107" spans="1:10" x14ac:dyDescent="0.3">
      <c r="A107" s="66" t="str">
        <f t="shared" si="2"/>
        <v>Jan 2027</v>
      </c>
      <c r="B107">
        <v>3</v>
      </c>
      <c r="C107" s="3">
        <v>46403</v>
      </c>
      <c r="D107" t="s">
        <v>2084</v>
      </c>
      <c r="E107" t="s">
        <v>2073</v>
      </c>
      <c r="F107" t="s">
        <v>263</v>
      </c>
      <c r="G107" t="s">
        <v>264</v>
      </c>
      <c r="H107" t="s">
        <v>11</v>
      </c>
      <c r="I107" t="s">
        <v>2142</v>
      </c>
      <c r="J107" t="s">
        <v>2091</v>
      </c>
    </row>
    <row r="108" spans="1:10" x14ac:dyDescent="0.3">
      <c r="A108" s="66" t="str">
        <f t="shared" ref="A108:A139" si="3">TEXT(C108,"mmm yyyy")</f>
        <v>Jan 2027</v>
      </c>
      <c r="B108">
        <v>3</v>
      </c>
      <c r="C108" s="3">
        <v>46405</v>
      </c>
      <c r="D108" t="s">
        <v>2089</v>
      </c>
      <c r="E108" t="s">
        <v>2069</v>
      </c>
      <c r="F108" t="s">
        <v>265</v>
      </c>
      <c r="G108" t="s">
        <v>2194</v>
      </c>
      <c r="H108" t="s">
        <v>12</v>
      </c>
      <c r="I108" t="s">
        <v>117</v>
      </c>
      <c r="J108" t="s">
        <v>2195</v>
      </c>
    </row>
    <row r="109" spans="1:10" x14ac:dyDescent="0.3">
      <c r="A109" s="66" t="str">
        <f t="shared" si="3"/>
        <v>Jan 2027</v>
      </c>
      <c r="B109">
        <v>3</v>
      </c>
      <c r="C109" s="3">
        <v>46407</v>
      </c>
      <c r="D109" t="s">
        <v>2097</v>
      </c>
      <c r="E109" t="s">
        <v>2073</v>
      </c>
      <c r="F109" t="s">
        <v>265</v>
      </c>
      <c r="G109" t="s">
        <v>266</v>
      </c>
      <c r="H109" t="s">
        <v>12</v>
      </c>
      <c r="I109" t="s">
        <v>2074</v>
      </c>
      <c r="J109" t="s">
        <v>2081</v>
      </c>
    </row>
    <row r="110" spans="1:10" x14ac:dyDescent="0.3">
      <c r="A110" s="66" t="str">
        <f t="shared" si="3"/>
        <v>Jan 2027</v>
      </c>
      <c r="B110">
        <v>4</v>
      </c>
      <c r="C110" s="3">
        <v>46409</v>
      </c>
      <c r="D110" t="s">
        <v>2092</v>
      </c>
      <c r="E110" t="s">
        <v>2069</v>
      </c>
      <c r="F110" t="s">
        <v>268</v>
      </c>
      <c r="G110" t="s">
        <v>2196</v>
      </c>
      <c r="H110" t="s">
        <v>5</v>
      </c>
      <c r="I110" t="s">
        <v>117</v>
      </c>
      <c r="J110" t="s">
        <v>2197</v>
      </c>
    </row>
    <row r="111" spans="1:10" x14ac:dyDescent="0.3">
      <c r="A111" s="66" t="str">
        <f t="shared" si="3"/>
        <v>Jan 2027</v>
      </c>
      <c r="B111">
        <v>4</v>
      </c>
      <c r="C111" s="3">
        <v>46411</v>
      </c>
      <c r="D111" t="s">
        <v>2068</v>
      </c>
      <c r="E111" t="s">
        <v>2123</v>
      </c>
      <c r="F111" t="s">
        <v>268</v>
      </c>
      <c r="G111" t="s">
        <v>269</v>
      </c>
      <c r="H111" t="s">
        <v>5</v>
      </c>
      <c r="I111" t="s">
        <v>2074</v>
      </c>
      <c r="J111" t="s">
        <v>1941</v>
      </c>
    </row>
    <row r="112" spans="1:10" x14ac:dyDescent="0.3">
      <c r="A112" s="66" t="str">
        <f t="shared" si="3"/>
        <v>Jan 2027</v>
      </c>
      <c r="B112">
        <v>5</v>
      </c>
      <c r="C112" s="3">
        <v>46416</v>
      </c>
      <c r="D112" t="s">
        <v>2092</v>
      </c>
      <c r="E112" t="s">
        <v>2069</v>
      </c>
      <c r="F112" t="s">
        <v>271</v>
      </c>
      <c r="G112" t="s">
        <v>2198</v>
      </c>
      <c r="H112" t="s">
        <v>6</v>
      </c>
      <c r="I112" t="s">
        <v>117</v>
      </c>
      <c r="J112" t="s">
        <v>2199</v>
      </c>
    </row>
    <row r="113" spans="1:10" x14ac:dyDescent="0.3">
      <c r="A113" s="66" t="str">
        <f t="shared" si="3"/>
        <v>Jan 2027</v>
      </c>
      <c r="B113">
        <v>5</v>
      </c>
      <c r="C113" s="3">
        <v>46418</v>
      </c>
      <c r="D113" t="s">
        <v>2068</v>
      </c>
      <c r="E113" t="s">
        <v>2073</v>
      </c>
      <c r="F113" t="s">
        <v>271</v>
      </c>
      <c r="G113" t="s">
        <v>272</v>
      </c>
      <c r="H113" t="s">
        <v>6</v>
      </c>
      <c r="I113" t="s">
        <v>2074</v>
      </c>
      <c r="J113" t="s">
        <v>2081</v>
      </c>
    </row>
    <row r="114" spans="1:10" x14ac:dyDescent="0.3">
      <c r="A114" s="66" t="str">
        <f t="shared" si="3"/>
        <v>Feb 2027</v>
      </c>
      <c r="B114">
        <v>1</v>
      </c>
      <c r="C114" s="3">
        <v>46420</v>
      </c>
      <c r="D114" t="s">
        <v>2072</v>
      </c>
      <c r="E114" t="s">
        <v>2069</v>
      </c>
      <c r="F114" t="s">
        <v>273</v>
      </c>
      <c r="G114" t="s">
        <v>2200</v>
      </c>
      <c r="H114" t="s">
        <v>7</v>
      </c>
      <c r="I114" t="s">
        <v>127</v>
      </c>
      <c r="J114" t="s">
        <v>2201</v>
      </c>
    </row>
    <row r="115" spans="1:10" x14ac:dyDescent="0.3">
      <c r="A115" s="66" t="str">
        <f t="shared" si="3"/>
        <v>Feb 2027</v>
      </c>
      <c r="B115">
        <v>1</v>
      </c>
      <c r="C115" s="3">
        <v>46422</v>
      </c>
      <c r="D115" t="s">
        <v>2078</v>
      </c>
      <c r="E115" t="s">
        <v>2073</v>
      </c>
      <c r="F115" t="s">
        <v>273</v>
      </c>
      <c r="G115" t="s">
        <v>274</v>
      </c>
      <c r="H115" t="s">
        <v>7</v>
      </c>
      <c r="I115" t="s">
        <v>2142</v>
      </c>
      <c r="J115" t="s">
        <v>2091</v>
      </c>
    </row>
    <row r="116" spans="1:10" x14ac:dyDescent="0.3">
      <c r="A116" s="66" t="str">
        <f t="shared" si="3"/>
        <v>Feb 2027</v>
      </c>
      <c r="B116">
        <v>1</v>
      </c>
      <c r="C116" s="3">
        <v>46424</v>
      </c>
      <c r="D116" t="s">
        <v>2084</v>
      </c>
      <c r="E116" t="s">
        <v>2069</v>
      </c>
      <c r="F116" t="s">
        <v>276</v>
      </c>
      <c r="G116" t="s">
        <v>2202</v>
      </c>
      <c r="H116" t="s">
        <v>8</v>
      </c>
      <c r="I116" t="s">
        <v>117</v>
      </c>
      <c r="J116" t="s">
        <v>2203</v>
      </c>
    </row>
    <row r="117" spans="1:10" x14ac:dyDescent="0.3">
      <c r="A117" s="66" t="str">
        <f t="shared" si="3"/>
        <v>Feb 2027</v>
      </c>
      <c r="B117">
        <v>2</v>
      </c>
      <c r="C117" s="3">
        <v>46426</v>
      </c>
      <c r="D117" t="s">
        <v>2089</v>
      </c>
      <c r="E117" t="s">
        <v>2073</v>
      </c>
      <c r="F117" t="s">
        <v>276</v>
      </c>
      <c r="G117" t="s">
        <v>277</v>
      </c>
      <c r="H117" t="s">
        <v>8</v>
      </c>
      <c r="I117" t="s">
        <v>2074</v>
      </c>
      <c r="J117" t="s">
        <v>2081</v>
      </c>
    </row>
    <row r="118" spans="1:10" x14ac:dyDescent="0.3">
      <c r="A118" s="66" t="str">
        <f t="shared" si="3"/>
        <v>Feb 2027</v>
      </c>
      <c r="B118">
        <v>2</v>
      </c>
      <c r="C118" s="3">
        <v>46427</v>
      </c>
      <c r="D118" t="s">
        <v>2072</v>
      </c>
      <c r="E118" t="s">
        <v>2069</v>
      </c>
      <c r="F118" t="s">
        <v>278</v>
      </c>
      <c r="G118" t="s">
        <v>2204</v>
      </c>
      <c r="H118" t="s">
        <v>9</v>
      </c>
      <c r="I118" t="s">
        <v>163</v>
      </c>
      <c r="J118" t="s">
        <v>2205</v>
      </c>
    </row>
    <row r="119" spans="1:10" x14ac:dyDescent="0.3">
      <c r="A119" s="66" t="str">
        <f t="shared" si="3"/>
        <v>Feb 2027</v>
      </c>
      <c r="B119">
        <v>2</v>
      </c>
      <c r="C119" s="3">
        <v>46430</v>
      </c>
      <c r="D119" t="s">
        <v>2092</v>
      </c>
      <c r="E119" t="s">
        <v>2073</v>
      </c>
      <c r="F119" t="s">
        <v>278</v>
      </c>
      <c r="G119" t="s">
        <v>279</v>
      </c>
      <c r="H119" t="s">
        <v>9</v>
      </c>
      <c r="I119" t="s">
        <v>2111</v>
      </c>
      <c r="J119" t="s">
        <v>2086</v>
      </c>
    </row>
    <row r="120" spans="1:10" x14ac:dyDescent="0.3">
      <c r="A120" s="66" t="str">
        <f t="shared" si="3"/>
        <v>Feb 2027</v>
      </c>
      <c r="B120">
        <v>2</v>
      </c>
      <c r="C120" s="3">
        <v>46431</v>
      </c>
      <c r="D120" t="s">
        <v>2084</v>
      </c>
      <c r="E120" t="s">
        <v>2069</v>
      </c>
      <c r="F120" t="s">
        <v>280</v>
      </c>
      <c r="G120" t="s">
        <v>2206</v>
      </c>
      <c r="H120" t="s">
        <v>10</v>
      </c>
      <c r="I120" t="s">
        <v>163</v>
      </c>
      <c r="J120" t="s">
        <v>2207</v>
      </c>
    </row>
    <row r="121" spans="1:10" x14ac:dyDescent="0.3">
      <c r="A121" s="66" t="str">
        <f t="shared" si="3"/>
        <v>Feb 2027</v>
      </c>
      <c r="B121">
        <v>3</v>
      </c>
      <c r="C121" s="3">
        <v>46434</v>
      </c>
      <c r="D121" t="s">
        <v>2072</v>
      </c>
      <c r="E121" t="s">
        <v>2073</v>
      </c>
      <c r="F121" t="s">
        <v>280</v>
      </c>
      <c r="G121" t="s">
        <v>281</v>
      </c>
      <c r="H121" t="s">
        <v>10</v>
      </c>
      <c r="I121" t="s">
        <v>2111</v>
      </c>
      <c r="J121" t="s">
        <v>2086</v>
      </c>
    </row>
    <row r="122" spans="1:10" x14ac:dyDescent="0.3">
      <c r="A122" s="66" t="str">
        <f t="shared" si="3"/>
        <v>Feb 2027</v>
      </c>
      <c r="B122">
        <v>3</v>
      </c>
      <c r="C122" s="3">
        <v>46435</v>
      </c>
      <c r="D122" t="s">
        <v>2097</v>
      </c>
      <c r="E122" t="s">
        <v>2069</v>
      </c>
      <c r="F122" t="s">
        <v>282</v>
      </c>
      <c r="G122" t="s">
        <v>2208</v>
      </c>
      <c r="H122" t="s">
        <v>11</v>
      </c>
      <c r="I122" t="s">
        <v>163</v>
      </c>
      <c r="J122" t="s">
        <v>2209</v>
      </c>
    </row>
    <row r="123" spans="1:10" x14ac:dyDescent="0.3">
      <c r="A123" s="66" t="str">
        <f t="shared" si="3"/>
        <v>Feb 2027</v>
      </c>
      <c r="B123">
        <v>3</v>
      </c>
      <c r="C123" s="3">
        <v>46438</v>
      </c>
      <c r="D123" t="s">
        <v>2084</v>
      </c>
      <c r="E123" t="s">
        <v>2123</v>
      </c>
      <c r="F123" t="s">
        <v>282</v>
      </c>
      <c r="G123" t="s">
        <v>283</v>
      </c>
      <c r="H123" t="s">
        <v>11</v>
      </c>
      <c r="I123" t="s">
        <v>2111</v>
      </c>
      <c r="J123" t="s">
        <v>1942</v>
      </c>
    </row>
    <row r="124" spans="1:10" x14ac:dyDescent="0.3">
      <c r="A124" s="66" t="str">
        <f t="shared" si="3"/>
        <v>Feb 2027</v>
      </c>
      <c r="B124">
        <v>4</v>
      </c>
      <c r="C124" s="3">
        <v>46440</v>
      </c>
      <c r="D124" t="s">
        <v>2089</v>
      </c>
      <c r="E124" t="s">
        <v>2069</v>
      </c>
      <c r="F124" t="s">
        <v>284</v>
      </c>
      <c r="G124" t="s">
        <v>2210</v>
      </c>
      <c r="H124" t="s">
        <v>12</v>
      </c>
      <c r="I124" t="s">
        <v>127</v>
      </c>
      <c r="J124" t="s">
        <v>2211</v>
      </c>
    </row>
    <row r="125" spans="1:10" x14ac:dyDescent="0.3">
      <c r="A125" s="66" t="str">
        <f t="shared" si="3"/>
        <v>Feb 2027</v>
      </c>
      <c r="B125">
        <v>4</v>
      </c>
      <c r="C125" s="3">
        <v>46442</v>
      </c>
      <c r="D125" t="s">
        <v>2097</v>
      </c>
      <c r="E125" t="s">
        <v>2073</v>
      </c>
      <c r="F125" t="s">
        <v>284</v>
      </c>
      <c r="G125" t="s">
        <v>285</v>
      </c>
      <c r="H125" t="s">
        <v>12</v>
      </c>
      <c r="I125" t="s">
        <v>2142</v>
      </c>
      <c r="J125" t="s">
        <v>2091</v>
      </c>
    </row>
    <row r="126" spans="1:10" x14ac:dyDescent="0.3">
      <c r="A126" s="66" t="str">
        <f t="shared" si="3"/>
        <v>Feb 2027</v>
      </c>
      <c r="B126">
        <v>4</v>
      </c>
      <c r="C126" s="3">
        <v>46443</v>
      </c>
      <c r="D126" t="s">
        <v>2078</v>
      </c>
      <c r="E126" t="s">
        <v>2069</v>
      </c>
      <c r="F126" t="s">
        <v>288</v>
      </c>
      <c r="G126" t="s">
        <v>2212</v>
      </c>
      <c r="H126" t="s">
        <v>6</v>
      </c>
      <c r="I126" t="s">
        <v>127</v>
      </c>
      <c r="J126" t="s">
        <v>2213</v>
      </c>
    </row>
    <row r="127" spans="1:10" x14ac:dyDescent="0.3">
      <c r="A127" s="66" t="str">
        <f t="shared" si="3"/>
        <v>Feb 2027</v>
      </c>
      <c r="B127">
        <v>4</v>
      </c>
      <c r="C127" s="3">
        <v>46444</v>
      </c>
      <c r="D127" t="s">
        <v>2092</v>
      </c>
      <c r="E127" t="s">
        <v>2069</v>
      </c>
      <c r="F127" t="s">
        <v>286</v>
      </c>
      <c r="G127" t="s">
        <v>2214</v>
      </c>
      <c r="H127" t="s">
        <v>5</v>
      </c>
      <c r="I127" t="s">
        <v>127</v>
      </c>
      <c r="J127" t="s">
        <v>2215</v>
      </c>
    </row>
    <row r="128" spans="1:10" x14ac:dyDescent="0.3">
      <c r="A128" s="66" t="str">
        <f t="shared" si="3"/>
        <v>Feb 2027</v>
      </c>
      <c r="B128">
        <v>4</v>
      </c>
      <c r="C128" s="3">
        <v>46445</v>
      </c>
      <c r="D128" t="s">
        <v>2084</v>
      </c>
      <c r="E128" t="s">
        <v>2073</v>
      </c>
      <c r="F128" t="s">
        <v>288</v>
      </c>
      <c r="G128" t="s">
        <v>289</v>
      </c>
      <c r="H128" t="s">
        <v>6</v>
      </c>
      <c r="I128" t="s">
        <v>2120</v>
      </c>
      <c r="J128" t="s">
        <v>2081</v>
      </c>
    </row>
    <row r="129" spans="1:10" x14ac:dyDescent="0.3">
      <c r="A129" s="66" t="str">
        <f t="shared" si="3"/>
        <v>Feb 2027</v>
      </c>
      <c r="B129">
        <v>4</v>
      </c>
      <c r="C129" s="3">
        <v>46446</v>
      </c>
      <c r="D129" t="s">
        <v>2068</v>
      </c>
      <c r="E129" t="s">
        <v>2073</v>
      </c>
      <c r="F129" t="s">
        <v>286</v>
      </c>
      <c r="G129" t="s">
        <v>287</v>
      </c>
      <c r="H129" t="s">
        <v>5</v>
      </c>
      <c r="I129" t="s">
        <v>2142</v>
      </c>
      <c r="J129" t="s">
        <v>2091</v>
      </c>
    </row>
    <row r="130" spans="1:10" x14ac:dyDescent="0.3">
      <c r="A130" s="66" t="str">
        <f t="shared" si="3"/>
        <v>Mar 2027</v>
      </c>
      <c r="B130">
        <v>1</v>
      </c>
      <c r="C130" s="3">
        <v>46452</v>
      </c>
      <c r="D130" t="s">
        <v>2084</v>
      </c>
      <c r="E130" t="s">
        <v>2069</v>
      </c>
      <c r="F130" t="s">
        <v>290</v>
      </c>
      <c r="G130" t="s">
        <v>2216</v>
      </c>
      <c r="H130" t="s">
        <v>7</v>
      </c>
      <c r="I130" t="s">
        <v>127</v>
      </c>
      <c r="J130" t="s">
        <v>2217</v>
      </c>
    </row>
    <row r="131" spans="1:10" x14ac:dyDescent="0.3">
      <c r="A131" s="66" t="str">
        <f t="shared" si="3"/>
        <v>Mar 2027</v>
      </c>
      <c r="B131">
        <v>2</v>
      </c>
      <c r="C131" s="3">
        <v>46454</v>
      </c>
      <c r="D131" t="s">
        <v>2089</v>
      </c>
      <c r="E131" t="s">
        <v>2073</v>
      </c>
      <c r="F131" t="s">
        <v>290</v>
      </c>
      <c r="G131" t="s">
        <v>291</v>
      </c>
      <c r="H131" t="s">
        <v>7</v>
      </c>
      <c r="I131" t="s">
        <v>2142</v>
      </c>
      <c r="J131" t="s">
        <v>2091</v>
      </c>
    </row>
    <row r="132" spans="1:10" x14ac:dyDescent="0.3">
      <c r="A132" s="66" t="str">
        <f t="shared" si="3"/>
        <v>Mar 2027</v>
      </c>
      <c r="B132">
        <v>2</v>
      </c>
      <c r="C132" s="3">
        <v>46456</v>
      </c>
      <c r="D132" t="s">
        <v>2097</v>
      </c>
      <c r="E132" t="s">
        <v>2069</v>
      </c>
      <c r="F132" t="s">
        <v>292</v>
      </c>
      <c r="G132" t="s">
        <v>2218</v>
      </c>
      <c r="H132" t="s">
        <v>8</v>
      </c>
      <c r="I132" t="s">
        <v>117</v>
      </c>
      <c r="J132" t="s">
        <v>2219</v>
      </c>
    </row>
    <row r="133" spans="1:10" x14ac:dyDescent="0.3">
      <c r="A133" s="66" t="str">
        <f t="shared" si="3"/>
        <v>Mar 2027</v>
      </c>
      <c r="B133">
        <v>2</v>
      </c>
      <c r="C133" s="3">
        <v>46458</v>
      </c>
      <c r="D133" t="s">
        <v>2092</v>
      </c>
      <c r="E133" t="s">
        <v>2073</v>
      </c>
      <c r="F133" t="s">
        <v>292</v>
      </c>
      <c r="G133" t="s">
        <v>293</v>
      </c>
      <c r="H133" t="s">
        <v>8</v>
      </c>
      <c r="I133" t="s">
        <v>2074</v>
      </c>
      <c r="J133" t="s">
        <v>2081</v>
      </c>
    </row>
    <row r="134" spans="1:10" x14ac:dyDescent="0.3">
      <c r="A134" s="66" t="str">
        <f t="shared" si="3"/>
        <v>Mar 2027</v>
      </c>
      <c r="B134">
        <v>2</v>
      </c>
      <c r="C134" s="3">
        <v>46460</v>
      </c>
      <c r="D134" t="s">
        <v>2068</v>
      </c>
      <c r="E134" t="s">
        <v>2069</v>
      </c>
      <c r="F134" t="s">
        <v>296</v>
      </c>
      <c r="G134" t="s">
        <v>2220</v>
      </c>
      <c r="H134" t="s">
        <v>9</v>
      </c>
      <c r="I134" t="s">
        <v>127</v>
      </c>
      <c r="J134" t="s">
        <v>2221</v>
      </c>
    </row>
    <row r="135" spans="1:10" x14ac:dyDescent="0.3">
      <c r="A135" s="66" t="str">
        <f t="shared" si="3"/>
        <v>Mar 2027</v>
      </c>
      <c r="B135">
        <v>3</v>
      </c>
      <c r="C135" s="3">
        <v>46462</v>
      </c>
      <c r="D135" t="s">
        <v>2072</v>
      </c>
      <c r="E135" t="s">
        <v>2073</v>
      </c>
      <c r="F135" t="s">
        <v>296</v>
      </c>
      <c r="G135" t="s">
        <v>297</v>
      </c>
      <c r="H135" t="s">
        <v>9</v>
      </c>
      <c r="I135" t="s">
        <v>2120</v>
      </c>
      <c r="J135" t="s">
        <v>2081</v>
      </c>
    </row>
    <row r="136" spans="1:10" x14ac:dyDescent="0.3">
      <c r="A136" s="66" t="str">
        <f t="shared" si="3"/>
        <v>Mar 2027</v>
      </c>
      <c r="B136">
        <v>3</v>
      </c>
      <c r="C136" s="3">
        <v>46464</v>
      </c>
      <c r="D136" t="s">
        <v>2078</v>
      </c>
      <c r="E136" t="s">
        <v>2069</v>
      </c>
      <c r="F136" t="s">
        <v>299</v>
      </c>
      <c r="G136" t="s">
        <v>2222</v>
      </c>
      <c r="H136" t="s">
        <v>10</v>
      </c>
      <c r="I136" t="s">
        <v>117</v>
      </c>
      <c r="J136" t="s">
        <v>2223</v>
      </c>
    </row>
    <row r="137" spans="1:10" x14ac:dyDescent="0.3">
      <c r="A137" s="66" t="str">
        <f t="shared" si="3"/>
        <v>Mar 2027</v>
      </c>
      <c r="B137">
        <v>3</v>
      </c>
      <c r="C137" s="3">
        <v>46466</v>
      </c>
      <c r="D137" t="s">
        <v>2084</v>
      </c>
      <c r="E137" t="s">
        <v>2073</v>
      </c>
      <c r="F137" t="s">
        <v>299</v>
      </c>
      <c r="G137" t="s">
        <v>300</v>
      </c>
      <c r="H137" t="s">
        <v>10</v>
      </c>
      <c r="I137" t="s">
        <v>2090</v>
      </c>
      <c r="J137" t="s">
        <v>2091</v>
      </c>
    </row>
    <row r="138" spans="1:10" x14ac:dyDescent="0.3">
      <c r="A138" s="66" t="str">
        <f t="shared" si="3"/>
        <v>Mar 2027</v>
      </c>
      <c r="B138">
        <v>4</v>
      </c>
      <c r="C138" s="3">
        <v>46468</v>
      </c>
      <c r="D138" t="s">
        <v>2089</v>
      </c>
      <c r="E138" t="s">
        <v>2069</v>
      </c>
      <c r="F138" t="s">
        <v>301</v>
      </c>
      <c r="G138" t="s">
        <v>2224</v>
      </c>
      <c r="H138" t="s">
        <v>11</v>
      </c>
      <c r="I138" t="s">
        <v>127</v>
      </c>
      <c r="J138" t="s">
        <v>2225</v>
      </c>
    </row>
    <row r="139" spans="1:10" x14ac:dyDescent="0.3">
      <c r="A139" s="66" t="str">
        <f t="shared" si="3"/>
        <v>Mar 2027</v>
      </c>
      <c r="B139">
        <v>4</v>
      </c>
      <c r="C139" s="3">
        <v>46470</v>
      </c>
      <c r="D139" t="s">
        <v>2097</v>
      </c>
      <c r="E139" t="s">
        <v>2073</v>
      </c>
      <c r="F139" t="s">
        <v>301</v>
      </c>
      <c r="G139" t="s">
        <v>302</v>
      </c>
      <c r="H139" t="s">
        <v>11</v>
      </c>
      <c r="I139" t="s">
        <v>2120</v>
      </c>
      <c r="J139" t="s">
        <v>2081</v>
      </c>
    </row>
    <row r="140" spans="1:10" x14ac:dyDescent="0.3">
      <c r="A140" s="66" t="str">
        <f t="shared" ref="A140:A171" si="4">TEXT(C140,"mmm yyyy")</f>
        <v>Mar 2027</v>
      </c>
      <c r="B140">
        <v>4</v>
      </c>
      <c r="C140" s="3">
        <v>46472</v>
      </c>
      <c r="D140" t="s">
        <v>2092</v>
      </c>
      <c r="E140" t="s">
        <v>2167</v>
      </c>
      <c r="F140" t="s">
        <v>2168</v>
      </c>
      <c r="G140" t="s">
        <v>2226</v>
      </c>
      <c r="H140" t="s">
        <v>2170</v>
      </c>
      <c r="I140" t="s">
        <v>2171</v>
      </c>
      <c r="J140" t="s">
        <v>2172</v>
      </c>
    </row>
    <row r="141" spans="1:10" x14ac:dyDescent="0.3">
      <c r="A141" s="66" t="str">
        <f t="shared" si="4"/>
        <v>Mar 2027</v>
      </c>
      <c r="B141">
        <v>4</v>
      </c>
      <c r="C141" s="3">
        <v>46474</v>
      </c>
      <c r="D141" t="s">
        <v>2068</v>
      </c>
      <c r="E141" t="s">
        <v>2167</v>
      </c>
      <c r="F141" t="s">
        <v>2168</v>
      </c>
      <c r="G141" t="s">
        <v>2227</v>
      </c>
      <c r="H141" t="s">
        <v>2170</v>
      </c>
      <c r="I141" t="s">
        <v>2171</v>
      </c>
      <c r="J141" t="s">
        <v>2172</v>
      </c>
    </row>
    <row r="142" spans="1:10" x14ac:dyDescent="0.3">
      <c r="A142" s="66" t="str">
        <f t="shared" si="4"/>
        <v>Mar 2027</v>
      </c>
      <c r="B142">
        <v>5</v>
      </c>
      <c r="C142" s="3">
        <v>46475</v>
      </c>
      <c r="D142" t="s">
        <v>2089</v>
      </c>
      <c r="E142" t="s">
        <v>2069</v>
      </c>
      <c r="F142" t="s">
        <v>304</v>
      </c>
      <c r="G142" t="s">
        <v>2178</v>
      </c>
      <c r="H142" t="s">
        <v>12</v>
      </c>
      <c r="I142" t="s">
        <v>127</v>
      </c>
      <c r="J142" t="s">
        <v>2228</v>
      </c>
    </row>
    <row r="143" spans="1:10" x14ac:dyDescent="0.3">
      <c r="A143" s="66" t="str">
        <f t="shared" si="4"/>
        <v>Mar 2027</v>
      </c>
      <c r="B143">
        <v>5</v>
      </c>
      <c r="C143" s="3">
        <v>46477</v>
      </c>
      <c r="D143" t="s">
        <v>2097</v>
      </c>
      <c r="E143" t="s">
        <v>2123</v>
      </c>
      <c r="F143" t="s">
        <v>304</v>
      </c>
      <c r="G143" t="s">
        <v>305</v>
      </c>
      <c r="H143" t="s">
        <v>12</v>
      </c>
      <c r="I143" t="s">
        <v>2120</v>
      </c>
      <c r="J143" t="s">
        <v>1940</v>
      </c>
    </row>
    <row r="144" spans="1:10" x14ac:dyDescent="0.3">
      <c r="A144" s="66" t="str">
        <f t="shared" si="4"/>
        <v>Apr 2027</v>
      </c>
      <c r="B144">
        <v>1</v>
      </c>
      <c r="C144" s="3">
        <v>46478</v>
      </c>
      <c r="D144" t="s">
        <v>2078</v>
      </c>
      <c r="E144" t="s">
        <v>2069</v>
      </c>
      <c r="F144" t="s">
        <v>306</v>
      </c>
      <c r="G144" t="s">
        <v>2229</v>
      </c>
      <c r="H144" t="s">
        <v>5</v>
      </c>
      <c r="I144" t="s">
        <v>163</v>
      </c>
      <c r="J144" t="s">
        <v>2230</v>
      </c>
    </row>
    <row r="145" spans="1:10" x14ac:dyDescent="0.3">
      <c r="A145" s="66" t="str">
        <f t="shared" si="4"/>
        <v>Apr 2027</v>
      </c>
      <c r="B145">
        <v>1</v>
      </c>
      <c r="C145" s="3">
        <v>46481</v>
      </c>
      <c r="D145" t="s">
        <v>2068</v>
      </c>
      <c r="E145" t="s">
        <v>2073</v>
      </c>
      <c r="F145" t="s">
        <v>306</v>
      </c>
      <c r="G145" t="s">
        <v>307</v>
      </c>
      <c r="H145" t="s">
        <v>5</v>
      </c>
      <c r="I145" t="s">
        <v>2111</v>
      </c>
      <c r="J145" t="s">
        <v>2086</v>
      </c>
    </row>
    <row r="146" spans="1:10" x14ac:dyDescent="0.3">
      <c r="A146" s="66" t="str">
        <f t="shared" si="4"/>
        <v>Apr 2027</v>
      </c>
      <c r="B146">
        <v>1</v>
      </c>
      <c r="C146" s="3">
        <v>46483</v>
      </c>
      <c r="D146" t="s">
        <v>2072</v>
      </c>
      <c r="E146" t="s">
        <v>2069</v>
      </c>
      <c r="F146" t="s">
        <v>308</v>
      </c>
      <c r="G146" t="s">
        <v>2231</v>
      </c>
      <c r="H146" t="s">
        <v>6</v>
      </c>
      <c r="I146" t="s">
        <v>127</v>
      </c>
      <c r="J146" t="s">
        <v>2232</v>
      </c>
    </row>
    <row r="147" spans="1:10" x14ac:dyDescent="0.3">
      <c r="A147" s="66" t="str">
        <f t="shared" si="4"/>
        <v>Apr 2027</v>
      </c>
      <c r="B147">
        <v>2</v>
      </c>
      <c r="C147" s="3">
        <v>46485</v>
      </c>
      <c r="D147" t="s">
        <v>2078</v>
      </c>
      <c r="E147" t="s">
        <v>2073</v>
      </c>
      <c r="F147" t="s">
        <v>308</v>
      </c>
      <c r="G147" t="s">
        <v>309</v>
      </c>
      <c r="H147" t="s">
        <v>6</v>
      </c>
      <c r="I147" t="s">
        <v>2142</v>
      </c>
      <c r="J147" t="s">
        <v>2091</v>
      </c>
    </row>
    <row r="148" spans="1:10" x14ac:dyDescent="0.3">
      <c r="A148" s="66" t="str">
        <f t="shared" si="4"/>
        <v>Apr 2027</v>
      </c>
      <c r="B148">
        <v>2</v>
      </c>
      <c r="C148" s="3">
        <v>46486</v>
      </c>
      <c r="D148" t="s">
        <v>2092</v>
      </c>
      <c r="E148" t="s">
        <v>2069</v>
      </c>
      <c r="F148" t="s">
        <v>311</v>
      </c>
      <c r="G148" t="s">
        <v>2233</v>
      </c>
      <c r="H148" t="s">
        <v>7</v>
      </c>
      <c r="I148" t="s">
        <v>163</v>
      </c>
      <c r="J148" t="s">
        <v>2234</v>
      </c>
    </row>
    <row r="149" spans="1:10" x14ac:dyDescent="0.3">
      <c r="A149" s="66" t="str">
        <f t="shared" si="4"/>
        <v>Apr 2027</v>
      </c>
      <c r="B149">
        <v>2</v>
      </c>
      <c r="C149" s="3">
        <v>46486</v>
      </c>
      <c r="D149" t="s">
        <v>2092</v>
      </c>
      <c r="E149" t="s">
        <v>2069</v>
      </c>
      <c r="F149" t="s">
        <v>313</v>
      </c>
      <c r="G149" t="s">
        <v>2235</v>
      </c>
      <c r="H149" t="s">
        <v>8</v>
      </c>
      <c r="I149" t="s">
        <v>117</v>
      </c>
      <c r="J149" t="s">
        <v>2236</v>
      </c>
    </row>
    <row r="150" spans="1:10" x14ac:dyDescent="0.3">
      <c r="A150" s="66" t="str">
        <f t="shared" si="4"/>
        <v>Apr 2027</v>
      </c>
      <c r="B150">
        <v>2</v>
      </c>
      <c r="C150" s="3">
        <v>46488</v>
      </c>
      <c r="D150" t="s">
        <v>2068</v>
      </c>
      <c r="E150" t="s">
        <v>2073</v>
      </c>
      <c r="F150" t="s">
        <v>313</v>
      </c>
      <c r="G150" t="s">
        <v>314</v>
      </c>
      <c r="H150" t="s">
        <v>8</v>
      </c>
      <c r="I150" t="s">
        <v>2074</v>
      </c>
      <c r="J150" t="s">
        <v>2081</v>
      </c>
    </row>
    <row r="151" spans="1:10" x14ac:dyDescent="0.3">
      <c r="A151" s="66" t="str">
        <f t="shared" si="4"/>
        <v>Apr 2027</v>
      </c>
      <c r="B151">
        <v>2</v>
      </c>
      <c r="C151" s="3">
        <v>46489</v>
      </c>
      <c r="D151" t="s">
        <v>2089</v>
      </c>
      <c r="E151" t="s">
        <v>2073</v>
      </c>
      <c r="F151" t="s">
        <v>311</v>
      </c>
      <c r="G151" t="s">
        <v>312</v>
      </c>
      <c r="H151" t="s">
        <v>7</v>
      </c>
      <c r="I151" t="s">
        <v>2111</v>
      </c>
      <c r="J151" t="s">
        <v>2086</v>
      </c>
    </row>
    <row r="152" spans="1:10" x14ac:dyDescent="0.3">
      <c r="A152" s="66" t="str">
        <f t="shared" si="4"/>
        <v>Apr 2027</v>
      </c>
      <c r="B152">
        <v>3</v>
      </c>
      <c r="C152" s="3">
        <v>46495</v>
      </c>
      <c r="D152" t="s">
        <v>2068</v>
      </c>
      <c r="E152" t="s">
        <v>2069</v>
      </c>
      <c r="F152" t="s">
        <v>315</v>
      </c>
      <c r="G152" t="s">
        <v>2237</v>
      </c>
      <c r="H152" t="s">
        <v>9</v>
      </c>
      <c r="I152" t="s">
        <v>117</v>
      </c>
      <c r="J152" t="s">
        <v>2238</v>
      </c>
    </row>
    <row r="153" spans="1:10" x14ac:dyDescent="0.3">
      <c r="A153" s="66" t="str">
        <f t="shared" si="4"/>
        <v>Apr 2027</v>
      </c>
      <c r="B153">
        <v>3</v>
      </c>
      <c r="C153" s="3">
        <v>46497</v>
      </c>
      <c r="D153" t="s">
        <v>2072</v>
      </c>
      <c r="E153" t="s">
        <v>2073</v>
      </c>
      <c r="F153" t="s">
        <v>315</v>
      </c>
      <c r="G153" t="s">
        <v>316</v>
      </c>
      <c r="H153" t="s">
        <v>9</v>
      </c>
      <c r="I153" t="s">
        <v>2090</v>
      </c>
      <c r="J153" t="s">
        <v>2091</v>
      </c>
    </row>
    <row r="154" spans="1:10" x14ac:dyDescent="0.3">
      <c r="A154" s="66" t="str">
        <f t="shared" si="4"/>
        <v>Apr 2027</v>
      </c>
      <c r="B154">
        <v>4</v>
      </c>
      <c r="C154" s="3">
        <v>46499</v>
      </c>
      <c r="D154" t="s">
        <v>2078</v>
      </c>
      <c r="E154" t="s">
        <v>2069</v>
      </c>
      <c r="F154" t="s">
        <v>317</v>
      </c>
      <c r="G154" t="s">
        <v>2239</v>
      </c>
      <c r="H154" t="s">
        <v>10</v>
      </c>
      <c r="I154" t="s">
        <v>127</v>
      </c>
      <c r="J154" t="s">
        <v>2240</v>
      </c>
    </row>
    <row r="155" spans="1:10" x14ac:dyDescent="0.3">
      <c r="A155" s="66" t="str">
        <f t="shared" si="4"/>
        <v>Apr 2027</v>
      </c>
      <c r="B155">
        <v>4</v>
      </c>
      <c r="C155" s="3">
        <v>46501</v>
      </c>
      <c r="D155" t="s">
        <v>2084</v>
      </c>
      <c r="E155" t="s">
        <v>2183</v>
      </c>
      <c r="F155" t="s">
        <v>317</v>
      </c>
      <c r="G155" t="s">
        <v>318</v>
      </c>
      <c r="H155" t="s">
        <v>10</v>
      </c>
      <c r="I155" t="s">
        <v>2142</v>
      </c>
      <c r="J155" t="s">
        <v>1937</v>
      </c>
    </row>
    <row r="156" spans="1:10" x14ac:dyDescent="0.3">
      <c r="A156" s="66" t="str">
        <f t="shared" si="4"/>
        <v>Apr 2027</v>
      </c>
      <c r="B156">
        <v>4</v>
      </c>
      <c r="C156" s="3">
        <v>46505</v>
      </c>
      <c r="D156" t="s">
        <v>2097</v>
      </c>
      <c r="E156" t="s">
        <v>2069</v>
      </c>
      <c r="F156" t="s">
        <v>319</v>
      </c>
      <c r="G156" t="s">
        <v>2241</v>
      </c>
      <c r="H156" t="s">
        <v>11</v>
      </c>
      <c r="I156" t="s">
        <v>117</v>
      </c>
      <c r="J156" t="s">
        <v>2242</v>
      </c>
    </row>
    <row r="157" spans="1:10" x14ac:dyDescent="0.3">
      <c r="A157" s="66" t="str">
        <f t="shared" si="4"/>
        <v>Apr 2027</v>
      </c>
      <c r="B157">
        <v>5</v>
      </c>
      <c r="C157" s="3">
        <v>46507</v>
      </c>
      <c r="D157" t="s">
        <v>2092</v>
      </c>
      <c r="E157" t="s">
        <v>2073</v>
      </c>
      <c r="F157" t="s">
        <v>319</v>
      </c>
      <c r="G157" t="s">
        <v>320</v>
      </c>
      <c r="H157" t="s">
        <v>11</v>
      </c>
      <c r="I157" t="s">
        <v>2074</v>
      </c>
      <c r="J157" t="s">
        <v>2081</v>
      </c>
    </row>
    <row r="158" spans="1:10" x14ac:dyDescent="0.3">
      <c r="A158" s="66" t="str">
        <f t="shared" si="4"/>
        <v>May 2027</v>
      </c>
      <c r="B158">
        <v>1</v>
      </c>
      <c r="C158" s="3">
        <v>46508</v>
      </c>
      <c r="D158" t="s">
        <v>2084</v>
      </c>
      <c r="E158" t="s">
        <v>2069</v>
      </c>
      <c r="F158" t="s">
        <v>323</v>
      </c>
      <c r="G158" t="s">
        <v>2243</v>
      </c>
      <c r="H158" t="s">
        <v>5</v>
      </c>
      <c r="I158" t="s">
        <v>127</v>
      </c>
      <c r="J158" t="s">
        <v>2244</v>
      </c>
    </row>
    <row r="159" spans="1:10" x14ac:dyDescent="0.3">
      <c r="A159" s="66" t="str">
        <f t="shared" si="4"/>
        <v>May 2027</v>
      </c>
      <c r="B159">
        <v>1</v>
      </c>
      <c r="C159" s="3">
        <v>46509</v>
      </c>
      <c r="D159" t="s">
        <v>2068</v>
      </c>
      <c r="E159" t="s">
        <v>2069</v>
      </c>
      <c r="F159" t="s">
        <v>321</v>
      </c>
      <c r="G159" t="s">
        <v>2245</v>
      </c>
      <c r="H159" t="s">
        <v>12</v>
      </c>
      <c r="I159" t="s">
        <v>117</v>
      </c>
      <c r="J159" t="s">
        <v>2246</v>
      </c>
    </row>
    <row r="160" spans="1:10" x14ac:dyDescent="0.3">
      <c r="A160" s="66" t="str">
        <f t="shared" si="4"/>
        <v>May 2027</v>
      </c>
      <c r="B160">
        <v>1</v>
      </c>
      <c r="C160" s="3">
        <v>46510</v>
      </c>
      <c r="D160" t="s">
        <v>2089</v>
      </c>
      <c r="E160" t="s">
        <v>2073</v>
      </c>
      <c r="F160" t="s">
        <v>323</v>
      </c>
      <c r="G160" t="s">
        <v>324</v>
      </c>
      <c r="H160" t="s">
        <v>5</v>
      </c>
      <c r="I160" t="s">
        <v>2142</v>
      </c>
      <c r="J160" t="s">
        <v>2091</v>
      </c>
    </row>
    <row r="161" spans="1:10" x14ac:dyDescent="0.3">
      <c r="A161" s="66" t="str">
        <f t="shared" si="4"/>
        <v>May 2027</v>
      </c>
      <c r="B161">
        <v>1</v>
      </c>
      <c r="C161" s="3">
        <v>46511</v>
      </c>
      <c r="D161" t="s">
        <v>2072</v>
      </c>
      <c r="E161" t="s">
        <v>2073</v>
      </c>
      <c r="F161" t="s">
        <v>321</v>
      </c>
      <c r="G161" t="s">
        <v>322</v>
      </c>
      <c r="H161" t="s">
        <v>12</v>
      </c>
      <c r="I161" t="s">
        <v>2074</v>
      </c>
      <c r="J161" t="s">
        <v>2081</v>
      </c>
    </row>
    <row r="162" spans="1:10" x14ac:dyDescent="0.3">
      <c r="A162" s="66" t="str">
        <f t="shared" si="4"/>
        <v>May 2027</v>
      </c>
      <c r="B162">
        <v>2</v>
      </c>
      <c r="C162" s="3">
        <v>46517</v>
      </c>
      <c r="D162" t="s">
        <v>2089</v>
      </c>
      <c r="E162" t="s">
        <v>2069</v>
      </c>
      <c r="F162" t="s">
        <v>325</v>
      </c>
      <c r="G162" t="s">
        <v>2247</v>
      </c>
      <c r="H162" t="s">
        <v>6</v>
      </c>
      <c r="I162" t="s">
        <v>117</v>
      </c>
      <c r="J162" t="s">
        <v>2248</v>
      </c>
    </row>
    <row r="163" spans="1:10" x14ac:dyDescent="0.3">
      <c r="A163" s="66" t="str">
        <f t="shared" si="4"/>
        <v>May 2027</v>
      </c>
      <c r="B163">
        <v>2</v>
      </c>
      <c r="C163" s="3">
        <v>46519</v>
      </c>
      <c r="D163" t="s">
        <v>2097</v>
      </c>
      <c r="E163" t="s">
        <v>2073</v>
      </c>
      <c r="F163" t="s">
        <v>325</v>
      </c>
      <c r="G163" t="s">
        <v>326</v>
      </c>
      <c r="H163" t="s">
        <v>6</v>
      </c>
      <c r="I163" t="s">
        <v>2074</v>
      </c>
      <c r="J163" t="s">
        <v>2081</v>
      </c>
    </row>
    <row r="164" spans="1:10" x14ac:dyDescent="0.3">
      <c r="A164" s="66" t="str">
        <f t="shared" si="4"/>
        <v>May 2027</v>
      </c>
      <c r="B164">
        <v>2</v>
      </c>
      <c r="C164" s="3">
        <v>46521</v>
      </c>
      <c r="D164" t="s">
        <v>2092</v>
      </c>
      <c r="E164" t="s">
        <v>2069</v>
      </c>
      <c r="F164" t="s">
        <v>327</v>
      </c>
      <c r="G164" t="s">
        <v>2249</v>
      </c>
      <c r="H164" t="s">
        <v>7</v>
      </c>
      <c r="I164" t="s">
        <v>127</v>
      </c>
      <c r="J164" t="s">
        <v>2250</v>
      </c>
    </row>
    <row r="165" spans="1:10" x14ac:dyDescent="0.3">
      <c r="A165" s="66" t="str">
        <f t="shared" si="4"/>
        <v>May 2027</v>
      </c>
      <c r="B165">
        <v>3</v>
      </c>
      <c r="C165" s="3">
        <v>46523</v>
      </c>
      <c r="D165" t="s">
        <v>2068</v>
      </c>
      <c r="E165" t="s">
        <v>2073</v>
      </c>
      <c r="F165" t="s">
        <v>327</v>
      </c>
      <c r="G165" t="s">
        <v>328</v>
      </c>
      <c r="H165" t="s">
        <v>7</v>
      </c>
      <c r="I165" t="s">
        <v>2142</v>
      </c>
      <c r="J165" t="s">
        <v>2091</v>
      </c>
    </row>
    <row r="166" spans="1:10" x14ac:dyDescent="0.3">
      <c r="A166" s="66" t="str">
        <f t="shared" si="4"/>
        <v>May 2027</v>
      </c>
      <c r="B166">
        <v>3</v>
      </c>
      <c r="C166" s="3">
        <v>46525</v>
      </c>
      <c r="D166" t="s">
        <v>2072</v>
      </c>
      <c r="E166" t="s">
        <v>2069</v>
      </c>
      <c r="F166" t="s">
        <v>329</v>
      </c>
      <c r="G166" t="s">
        <v>2251</v>
      </c>
      <c r="H166" t="s">
        <v>8</v>
      </c>
      <c r="I166" t="s">
        <v>117</v>
      </c>
      <c r="J166" t="s">
        <v>2252</v>
      </c>
    </row>
    <row r="167" spans="1:10" x14ac:dyDescent="0.3">
      <c r="A167" s="66" t="str">
        <f t="shared" si="4"/>
        <v>May 2027</v>
      </c>
      <c r="B167">
        <v>3</v>
      </c>
      <c r="C167" s="3">
        <v>46527</v>
      </c>
      <c r="D167" t="s">
        <v>2078</v>
      </c>
      <c r="E167" t="s">
        <v>2073</v>
      </c>
      <c r="F167" t="s">
        <v>329</v>
      </c>
      <c r="G167" t="s">
        <v>330</v>
      </c>
      <c r="H167" t="s">
        <v>8</v>
      </c>
      <c r="I167" t="s">
        <v>2074</v>
      </c>
      <c r="J167" t="s">
        <v>2081</v>
      </c>
    </row>
    <row r="168" spans="1:10" x14ac:dyDescent="0.3">
      <c r="A168" s="66" t="str">
        <f t="shared" si="4"/>
        <v>May 2027</v>
      </c>
      <c r="B168">
        <v>3</v>
      </c>
      <c r="C168" s="3">
        <v>46528</v>
      </c>
      <c r="D168" t="s">
        <v>2092</v>
      </c>
      <c r="E168" t="s">
        <v>2069</v>
      </c>
      <c r="F168" t="s">
        <v>331</v>
      </c>
      <c r="G168" t="s">
        <v>2253</v>
      </c>
      <c r="H168" t="s">
        <v>9</v>
      </c>
      <c r="I168" t="s">
        <v>163</v>
      </c>
      <c r="J168" t="s">
        <v>2254</v>
      </c>
    </row>
    <row r="169" spans="1:10" x14ac:dyDescent="0.3">
      <c r="A169" s="66" t="str">
        <f t="shared" si="4"/>
        <v>May 2027</v>
      </c>
      <c r="B169">
        <v>4</v>
      </c>
      <c r="C169" s="3">
        <v>46531</v>
      </c>
      <c r="D169" t="s">
        <v>2089</v>
      </c>
      <c r="E169" t="s">
        <v>2073</v>
      </c>
      <c r="F169" t="s">
        <v>331</v>
      </c>
      <c r="G169" t="s">
        <v>332</v>
      </c>
      <c r="H169" t="s">
        <v>9</v>
      </c>
      <c r="I169" t="s">
        <v>2111</v>
      </c>
      <c r="J169" t="s">
        <v>2086</v>
      </c>
    </row>
    <row r="170" spans="1:10" x14ac:dyDescent="0.3">
      <c r="A170" s="66" t="str">
        <f t="shared" si="4"/>
        <v>May 2027</v>
      </c>
      <c r="B170">
        <v>5</v>
      </c>
      <c r="C170" s="3">
        <v>46536</v>
      </c>
      <c r="D170" t="s">
        <v>2084</v>
      </c>
      <c r="E170" t="s">
        <v>2069</v>
      </c>
      <c r="F170" t="s">
        <v>333</v>
      </c>
      <c r="G170" t="s">
        <v>2255</v>
      </c>
      <c r="H170" t="s">
        <v>10</v>
      </c>
      <c r="I170" t="s">
        <v>127</v>
      </c>
      <c r="J170" t="s">
        <v>2256</v>
      </c>
    </row>
    <row r="171" spans="1:10" x14ac:dyDescent="0.3">
      <c r="A171" s="66" t="str">
        <f t="shared" si="4"/>
        <v>May 2027</v>
      </c>
      <c r="B171">
        <v>5</v>
      </c>
      <c r="C171" s="3">
        <v>46538</v>
      </c>
      <c r="D171" t="s">
        <v>2089</v>
      </c>
      <c r="E171" t="s">
        <v>2073</v>
      </c>
      <c r="F171" t="s">
        <v>333</v>
      </c>
      <c r="G171" t="s">
        <v>334</v>
      </c>
      <c r="H171" t="s">
        <v>10</v>
      </c>
      <c r="I171" t="s">
        <v>2085</v>
      </c>
      <c r="J171" t="s">
        <v>2086</v>
      </c>
    </row>
    <row r="172" spans="1:10" x14ac:dyDescent="0.3">
      <c r="A172" s="66" t="str">
        <f t="shared" ref="A172:A177" si="5">TEXT(C172,"mmm yyyy")</f>
        <v>Jun 2027</v>
      </c>
      <c r="B172">
        <v>1</v>
      </c>
      <c r="C172" s="3">
        <v>46540</v>
      </c>
      <c r="D172" t="s">
        <v>2097</v>
      </c>
      <c r="E172" t="s">
        <v>2069</v>
      </c>
      <c r="F172" t="s">
        <v>335</v>
      </c>
      <c r="G172" t="s">
        <v>2257</v>
      </c>
      <c r="H172" t="s">
        <v>11</v>
      </c>
      <c r="I172" t="s">
        <v>127</v>
      </c>
      <c r="J172" t="s">
        <v>2258</v>
      </c>
    </row>
    <row r="173" spans="1:10" x14ac:dyDescent="0.3">
      <c r="A173" s="66" t="str">
        <f t="shared" si="5"/>
        <v>Jun 2027</v>
      </c>
      <c r="B173">
        <v>1</v>
      </c>
      <c r="C173" s="3">
        <v>46542</v>
      </c>
      <c r="D173" t="s">
        <v>2092</v>
      </c>
      <c r="E173" t="s">
        <v>2123</v>
      </c>
      <c r="F173" t="s">
        <v>335</v>
      </c>
      <c r="G173" t="s">
        <v>336</v>
      </c>
      <c r="H173" t="s">
        <v>11</v>
      </c>
      <c r="I173" t="s">
        <v>2085</v>
      </c>
      <c r="J173" t="s">
        <v>1942</v>
      </c>
    </row>
    <row r="174" spans="1:10" x14ac:dyDescent="0.3">
      <c r="A174" s="66" t="str">
        <f t="shared" si="5"/>
        <v>Jun 2027</v>
      </c>
      <c r="B174">
        <v>1</v>
      </c>
      <c r="C174" s="3">
        <v>46544</v>
      </c>
      <c r="D174" t="s">
        <v>2068</v>
      </c>
      <c r="E174" t="s">
        <v>2069</v>
      </c>
      <c r="F174" t="s">
        <v>337</v>
      </c>
      <c r="G174" t="s">
        <v>2259</v>
      </c>
      <c r="H174" t="s">
        <v>12</v>
      </c>
      <c r="I174" t="s">
        <v>127</v>
      </c>
      <c r="J174" t="s">
        <v>2260</v>
      </c>
    </row>
    <row r="175" spans="1:10" x14ac:dyDescent="0.3">
      <c r="A175" s="66" t="str">
        <f t="shared" si="5"/>
        <v>Jun 2027</v>
      </c>
      <c r="B175">
        <v>2</v>
      </c>
      <c r="C175" s="3">
        <v>46546</v>
      </c>
      <c r="D175" t="s">
        <v>2072</v>
      </c>
      <c r="E175" t="s">
        <v>2073</v>
      </c>
      <c r="F175" t="s">
        <v>337</v>
      </c>
      <c r="G175" t="s">
        <v>338</v>
      </c>
      <c r="H175" t="s">
        <v>12</v>
      </c>
      <c r="I175" t="s">
        <v>2085</v>
      </c>
      <c r="J175" t="s">
        <v>2086</v>
      </c>
    </row>
    <row r="176" spans="1:10" x14ac:dyDescent="0.3">
      <c r="A176" s="66" t="str">
        <f t="shared" si="5"/>
        <v>Jun 2027</v>
      </c>
      <c r="B176">
        <v>4</v>
      </c>
      <c r="C176" s="3">
        <v>46563</v>
      </c>
      <c r="D176" t="s">
        <v>2092</v>
      </c>
      <c r="E176" t="s">
        <v>2167</v>
      </c>
      <c r="F176" t="s">
        <v>2168</v>
      </c>
      <c r="G176" t="s">
        <v>2261</v>
      </c>
      <c r="H176" t="s">
        <v>2170</v>
      </c>
      <c r="I176" t="s">
        <v>2171</v>
      </c>
      <c r="J176" t="s">
        <v>2172</v>
      </c>
    </row>
    <row r="177" spans="1:10" x14ac:dyDescent="0.3">
      <c r="A177" s="66" t="str">
        <f t="shared" si="5"/>
        <v>Jun 2027</v>
      </c>
      <c r="B177">
        <v>4</v>
      </c>
      <c r="C177" s="3">
        <v>46565</v>
      </c>
      <c r="D177" t="s">
        <v>2068</v>
      </c>
      <c r="E177" t="s">
        <v>2167</v>
      </c>
      <c r="F177" t="s">
        <v>2168</v>
      </c>
      <c r="G177" t="s">
        <v>2262</v>
      </c>
      <c r="H177" t="s">
        <v>2170</v>
      </c>
      <c r="I177" t="s">
        <v>2171</v>
      </c>
      <c r="J177" t="s">
        <v>2172</v>
      </c>
    </row>
  </sheetData>
  <mergeCells count="1">
    <mergeCell ref="A1:H1"/>
  </mergeCells>
  <conditionalFormatting sqref="E12:E177">
    <cfRule type="containsText" dxfId="52" priority="1" operator="containsText" text="CHANGE FREEZE">
      <formula>NOT(ISERROR(SEARCH("CHANGE FREEZE",E12)))</formula>
    </cfRule>
    <cfRule type="containsText" dxfId="51" priority="2" operator="containsText" text="CAB MEETING">
      <formula>NOT(ISERROR(SEARCH("CAB MEETING",E12)))</formula>
    </cfRule>
    <cfRule type="containsText" dxfId="50" priority="3" operator="containsText" text="REGULATORY">
      <formula>NOT(ISERROR(SEARCH("REGULATORY",E12)))</formula>
    </cfRule>
    <cfRule type="containsText" dxfId="49" priority="4" operator="containsText" text="VENDOR MAINT">
      <formula>NOT(ISERROR(SEARCH("VENDOR MAINT",E12)))</formula>
    </cfRule>
    <cfRule type="containsText" dxfId="48" priority="5" operator="containsText" text="RELEASE">
      <formula>NOT(ISERROR(SEARCH("RELEASE",E12)))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9922A5-4C7B-454D-9534-DDA078A4AD44}">
  <dimension ref="A1:U112"/>
  <sheetViews>
    <sheetView workbookViewId="0">
      <pane ySplit="1" topLeftCell="A3" activePane="bottomLeft" state="frozen"/>
      <selection pane="bottomLeft" activeCell="H3" sqref="H3"/>
    </sheetView>
  </sheetViews>
  <sheetFormatPr defaultRowHeight="14.4" x14ac:dyDescent="0.3"/>
  <cols>
    <col min="1" max="1" width="29.6640625" customWidth="1"/>
    <col min="2" max="2" width="15.77734375" customWidth="1"/>
    <col min="3" max="3" width="27.77734375" customWidth="1"/>
    <col min="4" max="4" width="16.6640625" customWidth="1"/>
    <col min="5" max="5" width="55.5546875" customWidth="1"/>
    <col min="6" max="7" width="16.6640625" customWidth="1"/>
    <col min="8" max="8" width="17.5546875" customWidth="1"/>
    <col min="9" max="10" width="16.6640625" customWidth="1"/>
    <col min="11" max="11" width="13" customWidth="1"/>
    <col min="12" max="12" width="17.5546875" customWidth="1"/>
    <col min="13" max="14" width="16.6640625" customWidth="1"/>
    <col min="15" max="15" width="13" customWidth="1"/>
    <col min="16" max="16" width="20.33203125" customWidth="1"/>
    <col min="17" max="18" width="16.6640625" customWidth="1"/>
    <col min="19" max="19" width="13" customWidth="1"/>
    <col min="20" max="20" width="18.5546875" customWidth="1"/>
    <col min="21" max="21" width="37" customWidth="1"/>
  </cols>
  <sheetData>
    <row r="1" spans="1:21" ht="30" customHeight="1" x14ac:dyDescent="0.3">
      <c r="A1" s="33" t="s">
        <v>1781</v>
      </c>
      <c r="B1" s="32" t="s">
        <v>103</v>
      </c>
      <c r="C1" s="32" t="s">
        <v>2</v>
      </c>
      <c r="D1" s="32" t="s">
        <v>1</v>
      </c>
      <c r="E1" s="32" t="s">
        <v>105</v>
      </c>
      <c r="F1" s="32" t="s">
        <v>1782</v>
      </c>
      <c r="G1" s="32" t="s">
        <v>1812</v>
      </c>
      <c r="H1" s="32" t="s">
        <v>1783</v>
      </c>
      <c r="I1" s="32" t="s">
        <v>1784</v>
      </c>
      <c r="J1" s="32" t="s">
        <v>1785</v>
      </c>
      <c r="K1" s="32" t="s">
        <v>1786</v>
      </c>
      <c r="L1" s="32" t="s">
        <v>1787</v>
      </c>
      <c r="M1" s="32" t="s">
        <v>1788</v>
      </c>
      <c r="N1" s="32" t="s">
        <v>1789</v>
      </c>
      <c r="O1" s="32" t="s">
        <v>1790</v>
      </c>
      <c r="P1" s="32" t="s">
        <v>1791</v>
      </c>
      <c r="Q1" s="32" t="s">
        <v>1792</v>
      </c>
      <c r="R1" s="32" t="s">
        <v>1793</v>
      </c>
      <c r="S1" s="32" t="s">
        <v>1794</v>
      </c>
      <c r="T1" s="32" t="s">
        <v>113</v>
      </c>
      <c r="U1" s="34" t="s">
        <v>114</v>
      </c>
    </row>
    <row r="2" spans="1:21" x14ac:dyDescent="0.3">
      <c r="A2" s="24" t="s">
        <v>1813</v>
      </c>
      <c r="B2" s="18" t="s">
        <v>115</v>
      </c>
      <c r="C2" s="18" t="s">
        <v>16</v>
      </c>
      <c r="D2" s="18" t="s">
        <v>5</v>
      </c>
      <c r="E2" s="18" t="s">
        <v>117</v>
      </c>
      <c r="F2" s="43">
        <v>46203</v>
      </c>
      <c r="G2" s="54">
        <v>46201</v>
      </c>
      <c r="H2" s="35" t="s">
        <v>120</v>
      </c>
      <c r="I2" s="36">
        <v>46196</v>
      </c>
      <c r="J2" s="36">
        <v>46198</v>
      </c>
      <c r="K2" s="35">
        <v>3</v>
      </c>
      <c r="L2" s="39" t="s">
        <v>121</v>
      </c>
      <c r="M2" s="40">
        <v>46199</v>
      </c>
      <c r="N2" s="40">
        <v>46200</v>
      </c>
      <c r="O2" s="39">
        <v>2</v>
      </c>
      <c r="P2" s="50" t="s">
        <v>1814</v>
      </c>
      <c r="Q2" s="51">
        <v>46201</v>
      </c>
      <c r="R2" s="51">
        <v>46201</v>
      </c>
      <c r="S2" s="50">
        <v>1</v>
      </c>
      <c r="T2" s="18" t="s">
        <v>123</v>
      </c>
      <c r="U2" s="27" t="s">
        <v>124</v>
      </c>
    </row>
    <row r="3" spans="1:21" x14ac:dyDescent="0.3">
      <c r="A3" s="24" t="s">
        <v>1815</v>
      </c>
      <c r="B3" s="18" t="s">
        <v>125</v>
      </c>
      <c r="C3" s="18" t="s">
        <v>35</v>
      </c>
      <c r="D3" s="18" t="s">
        <v>6</v>
      </c>
      <c r="E3" s="18" t="s">
        <v>127</v>
      </c>
      <c r="F3" s="43">
        <v>46207</v>
      </c>
      <c r="G3" s="54">
        <v>46205</v>
      </c>
      <c r="H3" s="35" t="s">
        <v>130</v>
      </c>
      <c r="I3" s="36">
        <v>46194</v>
      </c>
      <c r="J3" s="36">
        <v>46198</v>
      </c>
      <c r="K3" s="35">
        <v>5</v>
      </c>
      <c r="L3" s="39" t="s">
        <v>131</v>
      </c>
      <c r="M3" s="40">
        <v>46199</v>
      </c>
      <c r="N3" s="40">
        <v>46201</v>
      </c>
      <c r="O3" s="39">
        <v>3</v>
      </c>
      <c r="P3" s="50" t="s">
        <v>1816</v>
      </c>
      <c r="Q3" s="51">
        <v>46202</v>
      </c>
      <c r="R3" s="51">
        <v>46203</v>
      </c>
      <c r="S3" s="50">
        <v>2</v>
      </c>
      <c r="T3" s="18"/>
      <c r="U3" s="27" t="s">
        <v>339</v>
      </c>
    </row>
    <row r="4" spans="1:21" x14ac:dyDescent="0.3">
      <c r="A4" s="24" t="s">
        <v>1817</v>
      </c>
      <c r="B4" s="18" t="s">
        <v>132</v>
      </c>
      <c r="C4" s="18" t="s">
        <v>51</v>
      </c>
      <c r="D4" s="18" t="s">
        <v>7</v>
      </c>
      <c r="E4" s="18" t="s">
        <v>117</v>
      </c>
      <c r="F4" s="43">
        <v>46205</v>
      </c>
      <c r="G4" s="54">
        <v>46203</v>
      </c>
      <c r="H4" s="35" t="s">
        <v>120</v>
      </c>
      <c r="I4" s="36">
        <v>46198</v>
      </c>
      <c r="J4" s="36">
        <v>46200</v>
      </c>
      <c r="K4" s="35">
        <v>3</v>
      </c>
      <c r="L4" s="39" t="s">
        <v>121</v>
      </c>
      <c r="M4" s="40">
        <v>46201</v>
      </c>
      <c r="N4" s="40">
        <v>46202</v>
      </c>
      <c r="O4" s="39">
        <v>2</v>
      </c>
      <c r="P4" s="50" t="s">
        <v>1818</v>
      </c>
      <c r="Q4" s="51">
        <v>46203</v>
      </c>
      <c r="R4" s="51">
        <v>46203</v>
      </c>
      <c r="S4" s="50">
        <v>1</v>
      </c>
      <c r="T4" s="18" t="s">
        <v>123</v>
      </c>
      <c r="U4" s="27" t="s">
        <v>135</v>
      </c>
    </row>
    <row r="5" spans="1:21" x14ac:dyDescent="0.3">
      <c r="A5" s="24" t="s">
        <v>1819</v>
      </c>
      <c r="B5" s="18" t="s">
        <v>136</v>
      </c>
      <c r="C5" s="18" t="s">
        <v>56</v>
      </c>
      <c r="D5" s="18" t="s">
        <v>8</v>
      </c>
      <c r="E5" s="18" t="s">
        <v>127</v>
      </c>
      <c r="F5" s="43">
        <v>46215</v>
      </c>
      <c r="G5" s="54">
        <v>46213</v>
      </c>
      <c r="H5" s="35" t="s">
        <v>138</v>
      </c>
      <c r="I5" s="36">
        <v>46202</v>
      </c>
      <c r="J5" s="36">
        <v>46206</v>
      </c>
      <c r="K5" s="35">
        <v>5</v>
      </c>
      <c r="L5" s="39" t="s">
        <v>139</v>
      </c>
      <c r="M5" s="40">
        <v>46207</v>
      </c>
      <c r="N5" s="40">
        <v>46209</v>
      </c>
      <c r="O5" s="39">
        <v>3</v>
      </c>
      <c r="P5" s="50" t="s">
        <v>1820</v>
      </c>
      <c r="Q5" s="51">
        <v>46210</v>
      </c>
      <c r="R5" s="51">
        <v>46211</v>
      </c>
      <c r="S5" s="50">
        <v>2</v>
      </c>
      <c r="T5" s="18"/>
      <c r="U5" s="27" t="s">
        <v>340</v>
      </c>
    </row>
    <row r="6" spans="1:21" x14ac:dyDescent="0.3">
      <c r="A6" s="24" t="s">
        <v>1821</v>
      </c>
      <c r="B6" s="18" t="s">
        <v>140</v>
      </c>
      <c r="C6" s="18" t="s">
        <v>70</v>
      </c>
      <c r="D6" s="18" t="s">
        <v>9</v>
      </c>
      <c r="E6" s="18" t="s">
        <v>127</v>
      </c>
      <c r="F6" s="43">
        <v>46219</v>
      </c>
      <c r="G6" s="54">
        <v>46217</v>
      </c>
      <c r="H6" s="35" t="s">
        <v>143</v>
      </c>
      <c r="I6" s="36">
        <v>46206</v>
      </c>
      <c r="J6" s="36">
        <v>46210</v>
      </c>
      <c r="K6" s="35">
        <v>5</v>
      </c>
      <c r="L6" s="39" t="s">
        <v>144</v>
      </c>
      <c r="M6" s="40">
        <v>46211</v>
      </c>
      <c r="N6" s="40">
        <v>46213</v>
      </c>
      <c r="O6" s="39">
        <v>3</v>
      </c>
      <c r="P6" s="50" t="s">
        <v>1822</v>
      </c>
      <c r="Q6" s="51">
        <v>46214</v>
      </c>
      <c r="R6" s="51">
        <v>46215</v>
      </c>
      <c r="S6" s="50">
        <v>2</v>
      </c>
      <c r="T6" s="18" t="s">
        <v>123</v>
      </c>
      <c r="U6" s="27" t="s">
        <v>145</v>
      </c>
    </row>
    <row r="7" spans="1:21" x14ac:dyDescent="0.3">
      <c r="A7" s="24" t="s">
        <v>1823</v>
      </c>
      <c r="B7" s="18" t="s">
        <v>146</v>
      </c>
      <c r="C7" s="18" t="s">
        <v>74</v>
      </c>
      <c r="D7" s="18" t="s">
        <v>10</v>
      </c>
      <c r="E7" s="18" t="s">
        <v>117</v>
      </c>
      <c r="F7" s="43">
        <v>46223</v>
      </c>
      <c r="G7" s="54">
        <v>46221</v>
      </c>
      <c r="H7" s="35" t="s">
        <v>148</v>
      </c>
      <c r="I7" s="36">
        <v>46216</v>
      </c>
      <c r="J7" s="36">
        <v>46218</v>
      </c>
      <c r="K7" s="35">
        <v>3</v>
      </c>
      <c r="L7" s="39" t="s">
        <v>149</v>
      </c>
      <c r="M7" s="40">
        <v>46219</v>
      </c>
      <c r="N7" s="40">
        <v>46220</v>
      </c>
      <c r="O7" s="39">
        <v>2</v>
      </c>
      <c r="P7" s="50" t="s">
        <v>1824</v>
      </c>
      <c r="Q7" s="51">
        <v>46221</v>
      </c>
      <c r="R7" s="51">
        <v>46221</v>
      </c>
      <c r="S7" s="50">
        <v>1</v>
      </c>
      <c r="T7" s="18"/>
      <c r="U7" s="27" t="s">
        <v>341</v>
      </c>
    </row>
    <row r="8" spans="1:21" x14ac:dyDescent="0.3">
      <c r="A8" s="24" t="s">
        <v>1825</v>
      </c>
      <c r="B8" s="18" t="s">
        <v>150</v>
      </c>
      <c r="C8" s="18" t="s">
        <v>84</v>
      </c>
      <c r="D8" s="18" t="s">
        <v>11</v>
      </c>
      <c r="E8" s="18" t="s">
        <v>127</v>
      </c>
      <c r="F8" s="43">
        <v>46207</v>
      </c>
      <c r="G8" s="54">
        <v>46205</v>
      </c>
      <c r="H8" s="35" t="s">
        <v>120</v>
      </c>
      <c r="I8" s="36">
        <v>46194</v>
      </c>
      <c r="J8" s="36">
        <v>46198</v>
      </c>
      <c r="K8" s="35">
        <v>5</v>
      </c>
      <c r="L8" s="39" t="s">
        <v>121</v>
      </c>
      <c r="M8" s="40">
        <v>46199</v>
      </c>
      <c r="N8" s="40">
        <v>46201</v>
      </c>
      <c r="O8" s="39">
        <v>3</v>
      </c>
      <c r="P8" s="50" t="s">
        <v>1826</v>
      </c>
      <c r="Q8" s="51">
        <v>46202</v>
      </c>
      <c r="R8" s="51">
        <v>46203</v>
      </c>
      <c r="S8" s="50">
        <v>2</v>
      </c>
      <c r="T8" s="18" t="s">
        <v>123</v>
      </c>
      <c r="U8" s="27" t="s">
        <v>152</v>
      </c>
    </row>
    <row r="9" spans="1:21" x14ac:dyDescent="0.3">
      <c r="A9" s="24" t="s">
        <v>1827</v>
      </c>
      <c r="B9" s="18" t="s">
        <v>153</v>
      </c>
      <c r="C9" s="18" t="s">
        <v>93</v>
      </c>
      <c r="D9" s="18" t="s">
        <v>12</v>
      </c>
      <c r="E9" s="18" t="s">
        <v>117</v>
      </c>
      <c r="F9" s="43">
        <v>46234</v>
      </c>
      <c r="G9" s="54">
        <v>46232</v>
      </c>
      <c r="H9" s="35" t="s">
        <v>155</v>
      </c>
      <c r="I9" s="36">
        <v>46227</v>
      </c>
      <c r="J9" s="36">
        <v>46229</v>
      </c>
      <c r="K9" s="35">
        <v>3</v>
      </c>
      <c r="L9" s="39" t="s">
        <v>156</v>
      </c>
      <c r="M9" s="40">
        <v>46230</v>
      </c>
      <c r="N9" s="40">
        <v>46231</v>
      </c>
      <c r="O9" s="39">
        <v>2</v>
      </c>
      <c r="P9" s="50" t="s">
        <v>1828</v>
      </c>
      <c r="Q9" s="51">
        <v>46232</v>
      </c>
      <c r="R9" s="51">
        <v>46232</v>
      </c>
      <c r="S9" s="50">
        <v>1</v>
      </c>
      <c r="T9" s="18"/>
      <c r="U9" s="27" t="s">
        <v>342</v>
      </c>
    </row>
    <row r="10" spans="1:21" x14ac:dyDescent="0.3">
      <c r="A10" s="24" t="s">
        <v>1829</v>
      </c>
      <c r="B10" s="18" t="s">
        <v>157</v>
      </c>
      <c r="C10" s="18" t="s">
        <v>15</v>
      </c>
      <c r="D10" s="18" t="s">
        <v>5</v>
      </c>
      <c r="E10" s="18" t="s">
        <v>117</v>
      </c>
      <c r="F10" s="43">
        <v>46238</v>
      </c>
      <c r="G10" s="54">
        <v>46236</v>
      </c>
      <c r="H10" s="35" t="s">
        <v>159</v>
      </c>
      <c r="I10" s="36">
        <v>46231</v>
      </c>
      <c r="J10" s="36">
        <v>46233</v>
      </c>
      <c r="K10" s="35">
        <v>3</v>
      </c>
      <c r="L10" s="39" t="s">
        <v>121</v>
      </c>
      <c r="M10" s="40">
        <v>46234</v>
      </c>
      <c r="N10" s="40">
        <v>46235</v>
      </c>
      <c r="O10" s="39">
        <v>2</v>
      </c>
      <c r="P10" s="50" t="s">
        <v>1814</v>
      </c>
      <c r="Q10" s="51">
        <v>46236</v>
      </c>
      <c r="R10" s="51">
        <v>46236</v>
      </c>
      <c r="S10" s="50">
        <v>1</v>
      </c>
      <c r="T10" s="18" t="s">
        <v>123</v>
      </c>
      <c r="U10" s="27" t="s">
        <v>160</v>
      </c>
    </row>
    <row r="11" spans="1:21" x14ac:dyDescent="0.3">
      <c r="A11" s="24" t="s">
        <v>1830</v>
      </c>
      <c r="B11" s="18" t="s">
        <v>161</v>
      </c>
      <c r="C11" s="18" t="s">
        <v>36</v>
      </c>
      <c r="D11" s="18" t="s">
        <v>6</v>
      </c>
      <c r="E11" s="18" t="s">
        <v>163</v>
      </c>
      <c r="F11" s="43">
        <v>46221</v>
      </c>
      <c r="G11" s="54">
        <v>46218</v>
      </c>
      <c r="H11" s="35" t="s">
        <v>143</v>
      </c>
      <c r="I11" s="36">
        <v>46195</v>
      </c>
      <c r="J11" s="36">
        <v>46204</v>
      </c>
      <c r="K11" s="35">
        <v>10</v>
      </c>
      <c r="L11" s="39" t="s">
        <v>144</v>
      </c>
      <c r="M11" s="40">
        <v>46205</v>
      </c>
      <c r="N11" s="40">
        <v>46209</v>
      </c>
      <c r="O11" s="39">
        <v>5</v>
      </c>
      <c r="P11" s="50" t="s">
        <v>1816</v>
      </c>
      <c r="Q11" s="51">
        <v>46211</v>
      </c>
      <c r="R11" s="51">
        <v>46214</v>
      </c>
      <c r="S11" s="50">
        <v>4</v>
      </c>
      <c r="T11" s="18" t="s">
        <v>123</v>
      </c>
      <c r="U11" s="27" t="s">
        <v>164</v>
      </c>
    </row>
    <row r="12" spans="1:21" x14ac:dyDescent="0.3">
      <c r="A12" s="24" t="s">
        <v>1831</v>
      </c>
      <c r="B12" s="18" t="s">
        <v>165</v>
      </c>
      <c r="C12" s="18" t="s">
        <v>47</v>
      </c>
      <c r="D12" s="18" t="s">
        <v>7</v>
      </c>
      <c r="E12" s="18" t="s">
        <v>117</v>
      </c>
      <c r="F12" s="43">
        <v>46246</v>
      </c>
      <c r="G12" s="54">
        <v>46244</v>
      </c>
      <c r="H12" s="35" t="s">
        <v>167</v>
      </c>
      <c r="I12" s="36">
        <v>46239</v>
      </c>
      <c r="J12" s="36">
        <v>46241</v>
      </c>
      <c r="K12" s="35">
        <v>3</v>
      </c>
      <c r="L12" s="39" t="s">
        <v>168</v>
      </c>
      <c r="M12" s="40">
        <v>46242</v>
      </c>
      <c r="N12" s="40">
        <v>46243</v>
      </c>
      <c r="O12" s="39">
        <v>2</v>
      </c>
      <c r="P12" s="50" t="s">
        <v>1818</v>
      </c>
      <c r="Q12" s="51">
        <v>46244</v>
      </c>
      <c r="R12" s="51">
        <v>46244</v>
      </c>
      <c r="S12" s="50">
        <v>1</v>
      </c>
      <c r="T12" s="18" t="s">
        <v>123</v>
      </c>
      <c r="U12" s="27" t="s">
        <v>160</v>
      </c>
    </row>
    <row r="13" spans="1:21" x14ac:dyDescent="0.3">
      <c r="A13" s="24" t="s">
        <v>1832</v>
      </c>
      <c r="B13" s="18" t="s">
        <v>169</v>
      </c>
      <c r="C13" s="18" t="s">
        <v>59</v>
      </c>
      <c r="D13" s="18" t="s">
        <v>8</v>
      </c>
      <c r="E13" s="18" t="s">
        <v>117</v>
      </c>
      <c r="F13" s="43">
        <v>46209</v>
      </c>
      <c r="G13" s="54">
        <v>46207</v>
      </c>
      <c r="H13" s="35" t="s">
        <v>120</v>
      </c>
      <c r="I13" s="36">
        <v>46202</v>
      </c>
      <c r="J13" s="36">
        <v>46204</v>
      </c>
      <c r="K13" s="35">
        <v>3</v>
      </c>
      <c r="L13" s="39" t="s">
        <v>121</v>
      </c>
      <c r="M13" s="40">
        <v>46205</v>
      </c>
      <c r="N13" s="40">
        <v>46206</v>
      </c>
      <c r="O13" s="39">
        <v>2</v>
      </c>
      <c r="P13" s="50" t="s">
        <v>1820</v>
      </c>
      <c r="Q13" s="51">
        <v>46207</v>
      </c>
      <c r="R13" s="51">
        <v>46207</v>
      </c>
      <c r="S13" s="50">
        <v>1</v>
      </c>
      <c r="T13" s="18" t="s">
        <v>123</v>
      </c>
      <c r="U13" s="27" t="s">
        <v>135</v>
      </c>
    </row>
    <row r="14" spans="1:21" x14ac:dyDescent="0.3">
      <c r="A14" s="24" t="s">
        <v>1833</v>
      </c>
      <c r="B14" s="18" t="s">
        <v>171</v>
      </c>
      <c r="C14" s="18" t="s">
        <v>67</v>
      </c>
      <c r="D14" s="18" t="s">
        <v>9</v>
      </c>
      <c r="E14" s="18" t="s">
        <v>117</v>
      </c>
      <c r="F14" s="43">
        <v>46254</v>
      </c>
      <c r="G14" s="54">
        <v>46252</v>
      </c>
      <c r="H14" s="35" t="s">
        <v>173</v>
      </c>
      <c r="I14" s="36">
        <v>46247</v>
      </c>
      <c r="J14" s="36">
        <v>46249</v>
      </c>
      <c r="K14" s="35">
        <v>3</v>
      </c>
      <c r="L14" s="39" t="s">
        <v>144</v>
      </c>
      <c r="M14" s="40">
        <v>46250</v>
      </c>
      <c r="N14" s="40">
        <v>46251</v>
      </c>
      <c r="O14" s="39">
        <v>2</v>
      </c>
      <c r="P14" s="50" t="s">
        <v>1822</v>
      </c>
      <c r="Q14" s="51">
        <v>46252</v>
      </c>
      <c r="R14" s="51">
        <v>46252</v>
      </c>
      <c r="S14" s="50">
        <v>1</v>
      </c>
      <c r="T14" s="18" t="s">
        <v>123</v>
      </c>
      <c r="U14" s="27" t="s">
        <v>174</v>
      </c>
    </row>
    <row r="15" spans="1:21" x14ac:dyDescent="0.3">
      <c r="A15" s="24" t="s">
        <v>1834</v>
      </c>
      <c r="B15" s="18" t="s">
        <v>175</v>
      </c>
      <c r="C15" s="18" t="s">
        <v>75</v>
      </c>
      <c r="D15" s="18" t="s">
        <v>10</v>
      </c>
      <c r="E15" s="18" t="s">
        <v>163</v>
      </c>
      <c r="F15" s="43">
        <v>46248</v>
      </c>
      <c r="G15" s="54">
        <v>46245</v>
      </c>
      <c r="H15" s="35" t="s">
        <v>167</v>
      </c>
      <c r="I15" s="36">
        <v>46222</v>
      </c>
      <c r="J15" s="36">
        <v>46231</v>
      </c>
      <c r="K15" s="35">
        <v>10</v>
      </c>
      <c r="L15" s="39" t="s">
        <v>168</v>
      </c>
      <c r="M15" s="40">
        <v>46232</v>
      </c>
      <c r="N15" s="40">
        <v>46236</v>
      </c>
      <c r="O15" s="39">
        <v>5</v>
      </c>
      <c r="P15" s="50" t="s">
        <v>1824</v>
      </c>
      <c r="Q15" s="51">
        <v>46238</v>
      </c>
      <c r="R15" s="51">
        <v>46241</v>
      </c>
      <c r="S15" s="50">
        <v>4</v>
      </c>
      <c r="T15" s="18" t="s">
        <v>123</v>
      </c>
      <c r="U15" s="27" t="s">
        <v>177</v>
      </c>
    </row>
    <row r="16" spans="1:21" x14ac:dyDescent="0.3">
      <c r="A16" s="24" t="s">
        <v>1835</v>
      </c>
      <c r="B16" s="18" t="s">
        <v>178</v>
      </c>
      <c r="C16" s="18" t="s">
        <v>88</v>
      </c>
      <c r="D16" s="18" t="s">
        <v>11</v>
      </c>
      <c r="E16" s="18" t="s">
        <v>163</v>
      </c>
      <c r="F16" s="43">
        <v>46256</v>
      </c>
      <c r="G16" s="54">
        <v>46253</v>
      </c>
      <c r="H16" s="35" t="s">
        <v>173</v>
      </c>
      <c r="I16" s="36">
        <v>46230</v>
      </c>
      <c r="J16" s="36">
        <v>46239</v>
      </c>
      <c r="K16" s="35">
        <v>10</v>
      </c>
      <c r="L16" s="39" t="s">
        <v>144</v>
      </c>
      <c r="M16" s="40">
        <v>46240</v>
      </c>
      <c r="N16" s="40">
        <v>46244</v>
      </c>
      <c r="O16" s="39">
        <v>5</v>
      </c>
      <c r="P16" s="50" t="s">
        <v>1826</v>
      </c>
      <c r="Q16" s="51">
        <v>46246</v>
      </c>
      <c r="R16" s="51">
        <v>46249</v>
      </c>
      <c r="S16" s="50">
        <v>4</v>
      </c>
      <c r="T16" s="18" t="s">
        <v>123</v>
      </c>
      <c r="U16" s="27" t="s">
        <v>180</v>
      </c>
    </row>
    <row r="17" spans="1:21" x14ac:dyDescent="0.3">
      <c r="A17" s="24" t="s">
        <v>1836</v>
      </c>
      <c r="B17" s="18" t="s">
        <v>181</v>
      </c>
      <c r="C17" s="18" t="s">
        <v>98</v>
      </c>
      <c r="D17" s="18" t="s">
        <v>12</v>
      </c>
      <c r="E17" s="18" t="s">
        <v>163</v>
      </c>
      <c r="F17" s="43">
        <v>46269</v>
      </c>
      <c r="G17" s="54">
        <v>46266</v>
      </c>
      <c r="H17" s="35" t="s">
        <v>155</v>
      </c>
      <c r="I17" s="36">
        <v>46243</v>
      </c>
      <c r="J17" s="36">
        <v>46252</v>
      </c>
      <c r="K17" s="35">
        <v>10</v>
      </c>
      <c r="L17" s="39" t="s">
        <v>156</v>
      </c>
      <c r="M17" s="40">
        <v>46253</v>
      </c>
      <c r="N17" s="40">
        <v>46257</v>
      </c>
      <c r="O17" s="39">
        <v>5</v>
      </c>
      <c r="P17" s="50" t="s">
        <v>1828</v>
      </c>
      <c r="Q17" s="51">
        <v>46259</v>
      </c>
      <c r="R17" s="51">
        <v>46262</v>
      </c>
      <c r="S17" s="50">
        <v>4</v>
      </c>
      <c r="T17" s="18"/>
      <c r="U17" s="27" t="s">
        <v>343</v>
      </c>
    </row>
    <row r="18" spans="1:21" x14ac:dyDescent="0.3">
      <c r="A18" s="24" t="s">
        <v>1837</v>
      </c>
      <c r="B18" s="18" t="s">
        <v>183</v>
      </c>
      <c r="C18" s="18" t="s">
        <v>25</v>
      </c>
      <c r="D18" s="18" t="s">
        <v>5</v>
      </c>
      <c r="E18" s="18" t="s">
        <v>117</v>
      </c>
      <c r="F18" s="43">
        <v>46258</v>
      </c>
      <c r="G18" s="54">
        <v>46256</v>
      </c>
      <c r="H18" s="35" t="s">
        <v>173</v>
      </c>
      <c r="I18" s="36">
        <v>46251</v>
      </c>
      <c r="J18" s="36">
        <v>46253</v>
      </c>
      <c r="K18" s="35">
        <v>3</v>
      </c>
      <c r="L18" s="39" t="s">
        <v>144</v>
      </c>
      <c r="M18" s="40">
        <v>46254</v>
      </c>
      <c r="N18" s="40">
        <v>46255</v>
      </c>
      <c r="O18" s="39">
        <v>2</v>
      </c>
      <c r="P18" s="50" t="s">
        <v>1814</v>
      </c>
      <c r="Q18" s="51">
        <v>46256</v>
      </c>
      <c r="R18" s="51">
        <v>46256</v>
      </c>
      <c r="S18" s="50">
        <v>1</v>
      </c>
      <c r="T18" s="18" t="s">
        <v>123</v>
      </c>
      <c r="U18" s="27" t="s">
        <v>185</v>
      </c>
    </row>
    <row r="19" spans="1:21" x14ac:dyDescent="0.3">
      <c r="A19" s="24" t="s">
        <v>1838</v>
      </c>
      <c r="B19" s="18" t="s">
        <v>186</v>
      </c>
      <c r="C19" s="18" t="s">
        <v>34</v>
      </c>
      <c r="D19" s="18" t="s">
        <v>6</v>
      </c>
      <c r="E19" s="18" t="s">
        <v>117</v>
      </c>
      <c r="F19" s="43">
        <v>46277</v>
      </c>
      <c r="G19" s="54">
        <v>46275</v>
      </c>
      <c r="H19" s="35" t="s">
        <v>188</v>
      </c>
      <c r="I19" s="36">
        <v>46270</v>
      </c>
      <c r="J19" s="36">
        <v>46272</v>
      </c>
      <c r="K19" s="35">
        <v>3</v>
      </c>
      <c r="L19" s="39" t="s">
        <v>189</v>
      </c>
      <c r="M19" s="40">
        <v>46273</v>
      </c>
      <c r="N19" s="40">
        <v>46274</v>
      </c>
      <c r="O19" s="39">
        <v>2</v>
      </c>
      <c r="P19" s="50" t="s">
        <v>1816</v>
      </c>
      <c r="Q19" s="51">
        <v>46275</v>
      </c>
      <c r="R19" s="51">
        <v>46275</v>
      </c>
      <c r="S19" s="50">
        <v>1</v>
      </c>
      <c r="T19" s="18"/>
      <c r="U19" s="27" t="s">
        <v>344</v>
      </c>
    </row>
    <row r="20" spans="1:21" x14ac:dyDescent="0.3">
      <c r="A20" s="24" t="s">
        <v>1839</v>
      </c>
      <c r="B20" s="18" t="s">
        <v>190</v>
      </c>
      <c r="C20" s="18" t="s">
        <v>44</v>
      </c>
      <c r="D20" s="18" t="s">
        <v>7</v>
      </c>
      <c r="E20" s="18" t="s">
        <v>117</v>
      </c>
      <c r="F20" s="43">
        <v>46281</v>
      </c>
      <c r="G20" s="54">
        <v>46279</v>
      </c>
      <c r="H20" s="35" t="s">
        <v>192</v>
      </c>
      <c r="I20" s="36">
        <v>46274</v>
      </c>
      <c r="J20" s="36">
        <v>46276</v>
      </c>
      <c r="K20" s="35">
        <v>3</v>
      </c>
      <c r="L20" s="39" t="s">
        <v>193</v>
      </c>
      <c r="M20" s="40">
        <v>46277</v>
      </c>
      <c r="N20" s="40">
        <v>46278</v>
      </c>
      <c r="O20" s="39">
        <v>2</v>
      </c>
      <c r="P20" s="50" t="s">
        <v>1818</v>
      </c>
      <c r="Q20" s="51">
        <v>46279</v>
      </c>
      <c r="R20" s="51">
        <v>46279</v>
      </c>
      <c r="S20" s="50">
        <v>1</v>
      </c>
      <c r="T20" s="18" t="s">
        <v>123</v>
      </c>
      <c r="U20" s="27" t="s">
        <v>194</v>
      </c>
    </row>
    <row r="21" spans="1:21" x14ac:dyDescent="0.3">
      <c r="A21" s="24" t="s">
        <v>1840</v>
      </c>
      <c r="B21" s="18" t="s">
        <v>195</v>
      </c>
      <c r="C21" s="18" t="s">
        <v>55</v>
      </c>
      <c r="D21" s="18" t="s">
        <v>8</v>
      </c>
      <c r="E21" s="18" t="s">
        <v>117</v>
      </c>
      <c r="F21" s="43">
        <v>46285</v>
      </c>
      <c r="G21" s="54">
        <v>46283</v>
      </c>
      <c r="H21" s="35" t="s">
        <v>138</v>
      </c>
      <c r="I21" s="36">
        <v>46278</v>
      </c>
      <c r="J21" s="36">
        <v>46280</v>
      </c>
      <c r="K21" s="35">
        <v>3</v>
      </c>
      <c r="L21" s="39" t="s">
        <v>139</v>
      </c>
      <c r="M21" s="40">
        <v>46281</v>
      </c>
      <c r="N21" s="40">
        <v>46282</v>
      </c>
      <c r="O21" s="39">
        <v>2</v>
      </c>
      <c r="P21" s="50" t="s">
        <v>1820</v>
      </c>
      <c r="Q21" s="51">
        <v>46283</v>
      </c>
      <c r="R21" s="51">
        <v>46283</v>
      </c>
      <c r="S21" s="50">
        <v>1</v>
      </c>
      <c r="T21" s="18"/>
      <c r="U21" s="27" t="s">
        <v>345</v>
      </c>
    </row>
    <row r="22" spans="1:21" x14ac:dyDescent="0.3">
      <c r="A22" s="24" t="s">
        <v>1841</v>
      </c>
      <c r="B22" s="18" t="s">
        <v>197</v>
      </c>
      <c r="C22" s="18" t="s">
        <v>66</v>
      </c>
      <c r="D22" s="18" t="s">
        <v>9</v>
      </c>
      <c r="E22" s="18" t="s">
        <v>117</v>
      </c>
      <c r="F22" s="43">
        <v>46283</v>
      </c>
      <c r="G22" s="54">
        <v>46281</v>
      </c>
      <c r="H22" s="35" t="s">
        <v>192</v>
      </c>
      <c r="I22" s="36">
        <v>46276</v>
      </c>
      <c r="J22" s="36">
        <v>46278</v>
      </c>
      <c r="K22" s="35">
        <v>3</v>
      </c>
      <c r="L22" s="39" t="s">
        <v>193</v>
      </c>
      <c r="M22" s="40">
        <v>46279</v>
      </c>
      <c r="N22" s="40">
        <v>46280</v>
      </c>
      <c r="O22" s="39">
        <v>2</v>
      </c>
      <c r="P22" s="50" t="s">
        <v>1822</v>
      </c>
      <c r="Q22" s="51">
        <v>46281</v>
      </c>
      <c r="R22" s="51">
        <v>46281</v>
      </c>
      <c r="S22" s="50">
        <v>1</v>
      </c>
      <c r="T22" s="18" t="s">
        <v>123</v>
      </c>
      <c r="U22" s="27" t="s">
        <v>199</v>
      </c>
    </row>
    <row r="23" spans="1:21" x14ac:dyDescent="0.3">
      <c r="A23" s="24" t="s">
        <v>1842</v>
      </c>
      <c r="B23" s="18" t="s">
        <v>200</v>
      </c>
      <c r="C23" s="18" t="s">
        <v>75</v>
      </c>
      <c r="D23" s="18" t="s">
        <v>10</v>
      </c>
      <c r="E23" s="18" t="s">
        <v>127</v>
      </c>
      <c r="F23" s="43">
        <v>46260</v>
      </c>
      <c r="G23" s="54">
        <v>46258</v>
      </c>
      <c r="H23" s="35" t="s">
        <v>173</v>
      </c>
      <c r="I23" s="36">
        <v>46247</v>
      </c>
      <c r="J23" s="36">
        <v>46251</v>
      </c>
      <c r="K23" s="35">
        <v>5</v>
      </c>
      <c r="L23" s="39" t="s">
        <v>144</v>
      </c>
      <c r="M23" s="40">
        <v>46252</v>
      </c>
      <c r="N23" s="40">
        <v>46254</v>
      </c>
      <c r="O23" s="39">
        <v>3</v>
      </c>
      <c r="P23" s="50" t="s">
        <v>1824</v>
      </c>
      <c r="Q23" s="51">
        <v>46255</v>
      </c>
      <c r="R23" s="51">
        <v>46256</v>
      </c>
      <c r="S23" s="50">
        <v>2</v>
      </c>
      <c r="T23" s="18" t="s">
        <v>123</v>
      </c>
      <c r="U23" s="27" t="s">
        <v>180</v>
      </c>
    </row>
    <row r="24" spans="1:21" x14ac:dyDescent="0.3">
      <c r="A24" s="24" t="s">
        <v>1843</v>
      </c>
      <c r="B24" s="18" t="s">
        <v>202</v>
      </c>
      <c r="C24" s="18" t="s">
        <v>88</v>
      </c>
      <c r="D24" s="18" t="s">
        <v>11</v>
      </c>
      <c r="E24" s="18" t="s">
        <v>127</v>
      </c>
      <c r="F24" s="43">
        <v>46299</v>
      </c>
      <c r="G24" s="54">
        <v>46297</v>
      </c>
      <c r="H24" s="35" t="s">
        <v>204</v>
      </c>
      <c r="I24" s="36">
        <v>46286</v>
      </c>
      <c r="J24" s="36">
        <v>46290</v>
      </c>
      <c r="K24" s="35">
        <v>5</v>
      </c>
      <c r="L24" s="39" t="s">
        <v>205</v>
      </c>
      <c r="M24" s="40">
        <v>46291</v>
      </c>
      <c r="N24" s="40">
        <v>46293</v>
      </c>
      <c r="O24" s="39">
        <v>3</v>
      </c>
      <c r="P24" s="50" t="s">
        <v>1826</v>
      </c>
      <c r="Q24" s="51">
        <v>46294</v>
      </c>
      <c r="R24" s="51">
        <v>46295</v>
      </c>
      <c r="S24" s="50">
        <v>2</v>
      </c>
      <c r="T24" s="18" t="s">
        <v>123</v>
      </c>
      <c r="U24" s="27" t="s">
        <v>206</v>
      </c>
    </row>
    <row r="25" spans="1:21" x14ac:dyDescent="0.3">
      <c r="A25" s="24" t="s">
        <v>1844</v>
      </c>
      <c r="B25" s="18" t="s">
        <v>207</v>
      </c>
      <c r="C25" s="18" t="s">
        <v>97</v>
      </c>
      <c r="D25" s="18" t="s">
        <v>12</v>
      </c>
      <c r="E25" s="18" t="s">
        <v>117</v>
      </c>
      <c r="F25" s="43">
        <v>46303</v>
      </c>
      <c r="G25" s="54">
        <v>46301</v>
      </c>
      <c r="H25" s="35" t="s">
        <v>155</v>
      </c>
      <c r="I25" s="36">
        <v>46296</v>
      </c>
      <c r="J25" s="36">
        <v>46298</v>
      </c>
      <c r="K25" s="35">
        <v>3</v>
      </c>
      <c r="L25" s="39" t="s">
        <v>156</v>
      </c>
      <c r="M25" s="40">
        <v>46299</v>
      </c>
      <c r="N25" s="40">
        <v>46300</v>
      </c>
      <c r="O25" s="39">
        <v>2</v>
      </c>
      <c r="P25" s="50" t="s">
        <v>1828</v>
      </c>
      <c r="Q25" s="51">
        <v>46301</v>
      </c>
      <c r="R25" s="51">
        <v>46301</v>
      </c>
      <c r="S25" s="50">
        <v>1</v>
      </c>
      <c r="T25" s="18"/>
      <c r="U25" s="27" t="s">
        <v>346</v>
      </c>
    </row>
    <row r="26" spans="1:21" x14ac:dyDescent="0.3">
      <c r="A26" s="24" t="s">
        <v>1845</v>
      </c>
      <c r="B26" s="18" t="s">
        <v>209</v>
      </c>
      <c r="C26" s="18" t="s">
        <v>17</v>
      </c>
      <c r="D26" s="18" t="s">
        <v>5</v>
      </c>
      <c r="E26" s="18" t="s">
        <v>127</v>
      </c>
      <c r="F26" s="43">
        <v>46307</v>
      </c>
      <c r="G26" s="54">
        <v>46305</v>
      </c>
      <c r="H26" s="35" t="s">
        <v>159</v>
      </c>
      <c r="I26" s="36">
        <v>46294</v>
      </c>
      <c r="J26" s="36">
        <v>46298</v>
      </c>
      <c r="K26" s="35">
        <v>5</v>
      </c>
      <c r="L26" s="39" t="s">
        <v>211</v>
      </c>
      <c r="M26" s="40">
        <v>46299</v>
      </c>
      <c r="N26" s="40">
        <v>46301</v>
      </c>
      <c r="O26" s="39">
        <v>3</v>
      </c>
      <c r="P26" s="50" t="s">
        <v>1814</v>
      </c>
      <c r="Q26" s="51">
        <v>46302</v>
      </c>
      <c r="R26" s="51">
        <v>46303</v>
      </c>
      <c r="S26" s="50">
        <v>2</v>
      </c>
      <c r="T26" s="18"/>
      <c r="U26" s="27" t="s">
        <v>347</v>
      </c>
    </row>
    <row r="27" spans="1:21" x14ac:dyDescent="0.3">
      <c r="A27" s="24" t="s">
        <v>1846</v>
      </c>
      <c r="B27" s="18" t="s">
        <v>212</v>
      </c>
      <c r="C27" s="18" t="s">
        <v>38</v>
      </c>
      <c r="D27" s="18" t="s">
        <v>6</v>
      </c>
      <c r="E27" s="18" t="s">
        <v>127</v>
      </c>
      <c r="F27" s="43">
        <v>46285</v>
      </c>
      <c r="G27" s="54">
        <v>46283</v>
      </c>
      <c r="H27" s="35" t="s">
        <v>192</v>
      </c>
      <c r="I27" s="36">
        <v>46272</v>
      </c>
      <c r="J27" s="36">
        <v>46276</v>
      </c>
      <c r="K27" s="35">
        <v>5</v>
      </c>
      <c r="L27" s="39" t="s">
        <v>193</v>
      </c>
      <c r="M27" s="40">
        <v>46277</v>
      </c>
      <c r="N27" s="40">
        <v>46279</v>
      </c>
      <c r="O27" s="39">
        <v>3</v>
      </c>
      <c r="P27" s="50" t="s">
        <v>1816</v>
      </c>
      <c r="Q27" s="51">
        <v>46280</v>
      </c>
      <c r="R27" s="51">
        <v>46281</v>
      </c>
      <c r="S27" s="50">
        <v>2</v>
      </c>
      <c r="T27" s="18" t="s">
        <v>123</v>
      </c>
      <c r="U27" s="27" t="s">
        <v>194</v>
      </c>
    </row>
    <row r="28" spans="1:21" x14ac:dyDescent="0.3">
      <c r="A28" s="24" t="s">
        <v>1847</v>
      </c>
      <c r="B28" s="18" t="s">
        <v>214</v>
      </c>
      <c r="C28" s="18" t="s">
        <v>43</v>
      </c>
      <c r="D28" s="18" t="s">
        <v>7</v>
      </c>
      <c r="E28" s="18" t="s">
        <v>117</v>
      </c>
      <c r="F28" s="43">
        <v>46301</v>
      </c>
      <c r="G28" s="54">
        <v>46299</v>
      </c>
      <c r="H28" s="35" t="s">
        <v>204</v>
      </c>
      <c r="I28" s="36">
        <v>46294</v>
      </c>
      <c r="J28" s="36">
        <v>46296</v>
      </c>
      <c r="K28" s="35">
        <v>3</v>
      </c>
      <c r="L28" s="39" t="s">
        <v>205</v>
      </c>
      <c r="M28" s="40">
        <v>46297</v>
      </c>
      <c r="N28" s="40">
        <v>46298</v>
      </c>
      <c r="O28" s="39">
        <v>2</v>
      </c>
      <c r="P28" s="50" t="s">
        <v>1818</v>
      </c>
      <c r="Q28" s="51">
        <v>46299</v>
      </c>
      <c r="R28" s="51">
        <v>46299</v>
      </c>
      <c r="S28" s="50">
        <v>1</v>
      </c>
      <c r="T28" s="18" t="s">
        <v>123</v>
      </c>
      <c r="U28" s="27" t="s">
        <v>216</v>
      </c>
    </row>
    <row r="29" spans="1:21" x14ac:dyDescent="0.3">
      <c r="A29" s="24" t="s">
        <v>1848</v>
      </c>
      <c r="B29" s="18" t="s">
        <v>217</v>
      </c>
      <c r="C29" s="18" t="s">
        <v>53</v>
      </c>
      <c r="D29" s="18" t="s">
        <v>8</v>
      </c>
      <c r="E29" s="18" t="s">
        <v>163</v>
      </c>
      <c r="F29" s="43">
        <v>46319</v>
      </c>
      <c r="G29" s="54">
        <v>46316</v>
      </c>
      <c r="H29" s="35" t="s">
        <v>138</v>
      </c>
      <c r="I29" s="36">
        <v>46293</v>
      </c>
      <c r="J29" s="36">
        <v>46302</v>
      </c>
      <c r="K29" s="35">
        <v>10</v>
      </c>
      <c r="L29" s="39" t="s">
        <v>139</v>
      </c>
      <c r="M29" s="40">
        <v>46303</v>
      </c>
      <c r="N29" s="40">
        <v>46307</v>
      </c>
      <c r="O29" s="39">
        <v>5</v>
      </c>
      <c r="P29" s="50" t="s">
        <v>1820</v>
      </c>
      <c r="Q29" s="51">
        <v>46309</v>
      </c>
      <c r="R29" s="51">
        <v>46312</v>
      </c>
      <c r="S29" s="50">
        <v>4</v>
      </c>
      <c r="T29" s="18"/>
      <c r="U29" s="27" t="s">
        <v>348</v>
      </c>
    </row>
    <row r="30" spans="1:21" x14ac:dyDescent="0.3">
      <c r="A30" s="24" t="s">
        <v>1849</v>
      </c>
      <c r="B30" s="18" t="s">
        <v>219</v>
      </c>
      <c r="C30" s="18" t="s">
        <v>70</v>
      </c>
      <c r="D30" s="18" t="s">
        <v>9</v>
      </c>
      <c r="E30" s="18" t="s">
        <v>127</v>
      </c>
      <c r="F30" s="43">
        <v>46326</v>
      </c>
      <c r="G30" s="54">
        <v>46324</v>
      </c>
      <c r="H30" s="35" t="s">
        <v>173</v>
      </c>
      <c r="I30" s="36">
        <v>46313</v>
      </c>
      <c r="J30" s="36">
        <v>46317</v>
      </c>
      <c r="K30" s="35">
        <v>5</v>
      </c>
      <c r="L30" s="39" t="s">
        <v>144</v>
      </c>
      <c r="M30" s="40">
        <v>46318</v>
      </c>
      <c r="N30" s="40">
        <v>46320</v>
      </c>
      <c r="O30" s="39">
        <v>3</v>
      </c>
      <c r="P30" s="50" t="s">
        <v>1822</v>
      </c>
      <c r="Q30" s="51">
        <v>46321</v>
      </c>
      <c r="R30" s="51">
        <v>46322</v>
      </c>
      <c r="S30" s="50">
        <v>2</v>
      </c>
      <c r="T30" s="18"/>
      <c r="U30" s="27" t="s">
        <v>349</v>
      </c>
    </row>
    <row r="31" spans="1:21" x14ac:dyDescent="0.3">
      <c r="A31" s="24" t="s">
        <v>1850</v>
      </c>
      <c r="B31" s="18" t="s">
        <v>221</v>
      </c>
      <c r="C31" s="18" t="s">
        <v>80</v>
      </c>
      <c r="D31" s="18" t="s">
        <v>10</v>
      </c>
      <c r="E31" s="18" t="s">
        <v>127</v>
      </c>
      <c r="F31" s="43">
        <v>46330</v>
      </c>
      <c r="G31" s="54">
        <v>46328</v>
      </c>
      <c r="H31" s="35" t="s">
        <v>223</v>
      </c>
      <c r="I31" s="36">
        <v>46317</v>
      </c>
      <c r="J31" s="36">
        <v>46321</v>
      </c>
      <c r="K31" s="35">
        <v>5</v>
      </c>
      <c r="L31" s="39" t="s">
        <v>149</v>
      </c>
      <c r="M31" s="40">
        <v>46322</v>
      </c>
      <c r="N31" s="40">
        <v>46324</v>
      </c>
      <c r="O31" s="39">
        <v>3</v>
      </c>
      <c r="P31" s="50" t="s">
        <v>1824</v>
      </c>
      <c r="Q31" s="51">
        <v>46325</v>
      </c>
      <c r="R31" s="51">
        <v>46326</v>
      </c>
      <c r="S31" s="50">
        <v>2</v>
      </c>
      <c r="T31" s="18"/>
      <c r="U31" s="27" t="s">
        <v>350</v>
      </c>
    </row>
    <row r="32" spans="1:21" x14ac:dyDescent="0.3">
      <c r="A32" s="24" t="s">
        <v>1851</v>
      </c>
      <c r="B32" s="18" t="s">
        <v>224</v>
      </c>
      <c r="C32" s="18" t="s">
        <v>84</v>
      </c>
      <c r="D32" s="18" t="s">
        <v>11</v>
      </c>
      <c r="E32" s="18" t="s">
        <v>117</v>
      </c>
      <c r="F32" s="43">
        <v>46334</v>
      </c>
      <c r="G32" s="54">
        <v>46332</v>
      </c>
      <c r="H32" s="35" t="s">
        <v>204</v>
      </c>
      <c r="I32" s="36">
        <v>46327</v>
      </c>
      <c r="J32" s="36">
        <v>46329</v>
      </c>
      <c r="K32" s="35">
        <v>3</v>
      </c>
      <c r="L32" s="39" t="s">
        <v>205</v>
      </c>
      <c r="M32" s="40">
        <v>46330</v>
      </c>
      <c r="N32" s="40">
        <v>46331</v>
      </c>
      <c r="O32" s="39">
        <v>2</v>
      </c>
      <c r="P32" s="50" t="s">
        <v>1826</v>
      </c>
      <c r="Q32" s="51">
        <v>46332</v>
      </c>
      <c r="R32" s="51">
        <v>46332</v>
      </c>
      <c r="S32" s="50">
        <v>1</v>
      </c>
      <c r="T32" s="18"/>
      <c r="U32" s="27" t="s">
        <v>351</v>
      </c>
    </row>
    <row r="33" spans="1:21" x14ac:dyDescent="0.3">
      <c r="A33" s="24" t="s">
        <v>1852</v>
      </c>
      <c r="B33" s="18" t="s">
        <v>226</v>
      </c>
      <c r="C33" s="18" t="s">
        <v>93</v>
      </c>
      <c r="D33" s="18" t="s">
        <v>12</v>
      </c>
      <c r="E33" s="18" t="s">
        <v>117</v>
      </c>
      <c r="F33" s="43">
        <v>46338</v>
      </c>
      <c r="G33" s="54">
        <v>46336</v>
      </c>
      <c r="H33" s="35" t="s">
        <v>155</v>
      </c>
      <c r="I33" s="36">
        <v>46331</v>
      </c>
      <c r="J33" s="36">
        <v>46333</v>
      </c>
      <c r="K33" s="35">
        <v>3</v>
      </c>
      <c r="L33" s="39" t="s">
        <v>156</v>
      </c>
      <c r="M33" s="40">
        <v>46334</v>
      </c>
      <c r="N33" s="40">
        <v>46335</v>
      </c>
      <c r="O33" s="39">
        <v>2</v>
      </c>
      <c r="P33" s="50" t="s">
        <v>1828</v>
      </c>
      <c r="Q33" s="51">
        <v>46336</v>
      </c>
      <c r="R33" s="51">
        <v>46336</v>
      </c>
      <c r="S33" s="50">
        <v>1</v>
      </c>
      <c r="T33" s="18"/>
      <c r="U33" s="27" t="s">
        <v>341</v>
      </c>
    </row>
    <row r="34" spans="1:21" x14ac:dyDescent="0.3">
      <c r="A34" s="24" t="s">
        <v>1853</v>
      </c>
      <c r="B34" s="18" t="s">
        <v>228</v>
      </c>
      <c r="C34" s="18" t="s">
        <v>15</v>
      </c>
      <c r="D34" s="18" t="s">
        <v>5</v>
      </c>
      <c r="E34" s="18" t="s">
        <v>163</v>
      </c>
      <c r="F34" s="43">
        <v>46342</v>
      </c>
      <c r="G34" s="54">
        <v>46339</v>
      </c>
      <c r="H34" s="35" t="s">
        <v>120</v>
      </c>
      <c r="I34" s="36">
        <v>46316</v>
      </c>
      <c r="J34" s="36">
        <v>46325</v>
      </c>
      <c r="K34" s="35">
        <v>10</v>
      </c>
      <c r="L34" s="39" t="s">
        <v>121</v>
      </c>
      <c r="M34" s="40">
        <v>46326</v>
      </c>
      <c r="N34" s="40">
        <v>46330</v>
      </c>
      <c r="O34" s="39">
        <v>5</v>
      </c>
      <c r="P34" s="50" t="s">
        <v>1814</v>
      </c>
      <c r="Q34" s="51">
        <v>46332</v>
      </c>
      <c r="R34" s="51">
        <v>46335</v>
      </c>
      <c r="S34" s="50">
        <v>4</v>
      </c>
      <c r="T34" s="18"/>
      <c r="U34" s="27" t="s">
        <v>349</v>
      </c>
    </row>
    <row r="35" spans="1:21" x14ac:dyDescent="0.3">
      <c r="A35" s="24" t="s">
        <v>1854</v>
      </c>
      <c r="B35" s="18" t="s">
        <v>230</v>
      </c>
      <c r="C35" s="18" t="s">
        <v>36</v>
      </c>
      <c r="D35" s="18" t="s">
        <v>6</v>
      </c>
      <c r="E35" s="18" t="s">
        <v>127</v>
      </c>
      <c r="F35" s="43">
        <v>46346</v>
      </c>
      <c r="G35" s="54">
        <v>46344</v>
      </c>
      <c r="H35" s="35" t="s">
        <v>130</v>
      </c>
      <c r="I35" s="36">
        <v>46333</v>
      </c>
      <c r="J35" s="36">
        <v>46337</v>
      </c>
      <c r="K35" s="35">
        <v>5</v>
      </c>
      <c r="L35" s="39" t="s">
        <v>131</v>
      </c>
      <c r="M35" s="40">
        <v>46338</v>
      </c>
      <c r="N35" s="40">
        <v>46340</v>
      </c>
      <c r="O35" s="39">
        <v>3</v>
      </c>
      <c r="P35" s="50" t="s">
        <v>1816</v>
      </c>
      <c r="Q35" s="51">
        <v>46341</v>
      </c>
      <c r="R35" s="51">
        <v>46342</v>
      </c>
      <c r="S35" s="50">
        <v>2</v>
      </c>
      <c r="T35" s="18"/>
      <c r="U35" s="27" t="s">
        <v>339</v>
      </c>
    </row>
    <row r="36" spans="1:21" x14ac:dyDescent="0.3">
      <c r="A36" s="24" t="s">
        <v>1855</v>
      </c>
      <c r="B36" s="18" t="s">
        <v>232</v>
      </c>
      <c r="C36" s="18" t="s">
        <v>44</v>
      </c>
      <c r="D36" s="18" t="s">
        <v>7</v>
      </c>
      <c r="E36" s="18" t="s">
        <v>117</v>
      </c>
      <c r="F36" s="43">
        <v>46350</v>
      </c>
      <c r="G36" s="54">
        <v>46348</v>
      </c>
      <c r="H36" s="35" t="s">
        <v>192</v>
      </c>
      <c r="I36" s="36">
        <v>46343</v>
      </c>
      <c r="J36" s="36">
        <v>46345</v>
      </c>
      <c r="K36" s="35">
        <v>3</v>
      </c>
      <c r="L36" s="39" t="s">
        <v>193</v>
      </c>
      <c r="M36" s="40">
        <v>46346</v>
      </c>
      <c r="N36" s="40">
        <v>46347</v>
      </c>
      <c r="O36" s="39">
        <v>2</v>
      </c>
      <c r="P36" s="50" t="s">
        <v>1818</v>
      </c>
      <c r="Q36" s="51">
        <v>46348</v>
      </c>
      <c r="R36" s="51">
        <v>46348</v>
      </c>
      <c r="S36" s="50">
        <v>1</v>
      </c>
      <c r="T36" s="18"/>
      <c r="U36" s="27" t="s">
        <v>343</v>
      </c>
    </row>
    <row r="37" spans="1:21" x14ac:dyDescent="0.3">
      <c r="A37" s="24" t="s">
        <v>1856</v>
      </c>
      <c r="B37" s="18" t="s">
        <v>234</v>
      </c>
      <c r="C37" s="18" t="s">
        <v>59</v>
      </c>
      <c r="D37" s="18" t="s">
        <v>8</v>
      </c>
      <c r="E37" s="18" t="s">
        <v>117</v>
      </c>
      <c r="F37" s="43">
        <v>46356</v>
      </c>
      <c r="G37" s="54">
        <v>46354</v>
      </c>
      <c r="H37" s="35" t="s">
        <v>138</v>
      </c>
      <c r="I37" s="36">
        <v>46349</v>
      </c>
      <c r="J37" s="36">
        <v>46351</v>
      </c>
      <c r="K37" s="35">
        <v>3</v>
      </c>
      <c r="L37" s="39" t="s">
        <v>139</v>
      </c>
      <c r="M37" s="40">
        <v>46352</v>
      </c>
      <c r="N37" s="40">
        <v>46353</v>
      </c>
      <c r="O37" s="39">
        <v>2</v>
      </c>
      <c r="P37" s="50" t="s">
        <v>1820</v>
      </c>
      <c r="Q37" s="51">
        <v>46354</v>
      </c>
      <c r="R37" s="51">
        <v>46354</v>
      </c>
      <c r="S37" s="50">
        <v>1</v>
      </c>
      <c r="T37" s="18"/>
      <c r="U37" s="27" t="s">
        <v>342</v>
      </c>
    </row>
    <row r="38" spans="1:21" x14ac:dyDescent="0.3">
      <c r="A38" s="24" t="s">
        <v>1857</v>
      </c>
      <c r="B38" s="18" t="s">
        <v>236</v>
      </c>
      <c r="C38" s="18" t="s">
        <v>67</v>
      </c>
      <c r="D38" s="18" t="s">
        <v>9</v>
      </c>
      <c r="E38" s="18" t="s">
        <v>163</v>
      </c>
      <c r="F38" s="43">
        <v>46360</v>
      </c>
      <c r="G38" s="54">
        <v>46357</v>
      </c>
      <c r="H38" s="35" t="s">
        <v>173</v>
      </c>
      <c r="I38" s="36">
        <v>46334</v>
      </c>
      <c r="J38" s="36">
        <v>46343</v>
      </c>
      <c r="K38" s="35">
        <v>10</v>
      </c>
      <c r="L38" s="39" t="s">
        <v>238</v>
      </c>
      <c r="M38" s="40">
        <v>46344</v>
      </c>
      <c r="N38" s="40">
        <v>46348</v>
      </c>
      <c r="O38" s="39">
        <v>5</v>
      </c>
      <c r="P38" s="50" t="s">
        <v>1822</v>
      </c>
      <c r="Q38" s="51">
        <v>46350</v>
      </c>
      <c r="R38" s="51">
        <v>46353</v>
      </c>
      <c r="S38" s="50">
        <v>4</v>
      </c>
      <c r="T38" s="18"/>
      <c r="U38" s="27" t="s">
        <v>352</v>
      </c>
    </row>
    <row r="39" spans="1:21" x14ac:dyDescent="0.3">
      <c r="A39" s="24" t="s">
        <v>1858</v>
      </c>
      <c r="B39" s="18" t="s">
        <v>239</v>
      </c>
      <c r="C39" s="18" t="s">
        <v>74</v>
      </c>
      <c r="D39" s="18" t="s">
        <v>10</v>
      </c>
      <c r="E39" s="18" t="s">
        <v>117</v>
      </c>
      <c r="F39" s="43">
        <v>46364</v>
      </c>
      <c r="G39" s="54">
        <v>46362</v>
      </c>
      <c r="H39" s="35" t="s">
        <v>223</v>
      </c>
      <c r="I39" s="36">
        <v>46357</v>
      </c>
      <c r="J39" s="36">
        <v>46359</v>
      </c>
      <c r="K39" s="35">
        <v>3</v>
      </c>
      <c r="L39" s="39" t="s">
        <v>241</v>
      </c>
      <c r="M39" s="40">
        <v>46360</v>
      </c>
      <c r="N39" s="40">
        <v>46361</v>
      </c>
      <c r="O39" s="39">
        <v>2</v>
      </c>
      <c r="P39" s="50" t="s">
        <v>1824</v>
      </c>
      <c r="Q39" s="51">
        <v>46362</v>
      </c>
      <c r="R39" s="51">
        <v>46362</v>
      </c>
      <c r="S39" s="50">
        <v>1</v>
      </c>
      <c r="T39" s="18"/>
      <c r="U39" s="27" t="s">
        <v>350</v>
      </c>
    </row>
    <row r="40" spans="1:21" x14ac:dyDescent="0.3">
      <c r="A40" s="24" t="s">
        <v>1859</v>
      </c>
      <c r="B40" s="18" t="s">
        <v>242</v>
      </c>
      <c r="C40" s="18" t="s">
        <v>90</v>
      </c>
      <c r="D40" s="18" t="s">
        <v>11</v>
      </c>
      <c r="E40" s="18" t="s">
        <v>163</v>
      </c>
      <c r="F40" s="43">
        <v>46368</v>
      </c>
      <c r="G40" s="54">
        <v>46365</v>
      </c>
      <c r="H40" s="35" t="s">
        <v>244</v>
      </c>
      <c r="I40" s="36">
        <v>46342</v>
      </c>
      <c r="J40" s="36">
        <v>46351</v>
      </c>
      <c r="K40" s="35">
        <v>10</v>
      </c>
      <c r="L40" s="39" t="s">
        <v>245</v>
      </c>
      <c r="M40" s="40">
        <v>46352</v>
      </c>
      <c r="N40" s="40">
        <v>46356</v>
      </c>
      <c r="O40" s="39">
        <v>5</v>
      </c>
      <c r="P40" s="50" t="s">
        <v>1826</v>
      </c>
      <c r="Q40" s="51">
        <v>46358</v>
      </c>
      <c r="R40" s="51">
        <v>46361</v>
      </c>
      <c r="S40" s="50">
        <v>4</v>
      </c>
      <c r="T40" s="18"/>
      <c r="U40" s="27" t="s">
        <v>345</v>
      </c>
    </row>
    <row r="41" spans="1:21" x14ac:dyDescent="0.3">
      <c r="A41" s="24" t="s">
        <v>1860</v>
      </c>
      <c r="B41" s="18" t="s">
        <v>246</v>
      </c>
      <c r="C41" s="18" t="s">
        <v>94</v>
      </c>
      <c r="D41" s="18" t="s">
        <v>12</v>
      </c>
      <c r="E41" s="18" t="s">
        <v>117</v>
      </c>
      <c r="F41" s="43">
        <v>46372</v>
      </c>
      <c r="G41" s="54">
        <v>46370</v>
      </c>
      <c r="H41" s="35" t="s">
        <v>248</v>
      </c>
      <c r="I41" s="36">
        <v>46365</v>
      </c>
      <c r="J41" s="36">
        <v>46367</v>
      </c>
      <c r="K41" s="35">
        <v>3</v>
      </c>
      <c r="L41" s="39" t="s">
        <v>156</v>
      </c>
      <c r="M41" s="40">
        <v>46368</v>
      </c>
      <c r="N41" s="40">
        <v>46369</v>
      </c>
      <c r="O41" s="39">
        <v>2</v>
      </c>
      <c r="P41" s="50" t="s">
        <v>1828</v>
      </c>
      <c r="Q41" s="51">
        <v>46370</v>
      </c>
      <c r="R41" s="51">
        <v>46370</v>
      </c>
      <c r="S41" s="50">
        <v>1</v>
      </c>
      <c r="T41" s="18"/>
      <c r="U41" s="27" t="s">
        <v>348</v>
      </c>
    </row>
    <row r="42" spans="1:21" x14ac:dyDescent="0.3">
      <c r="A42" s="24" t="s">
        <v>1861</v>
      </c>
      <c r="B42" s="18" t="s">
        <v>249</v>
      </c>
      <c r="C42" s="18" t="s">
        <v>14</v>
      </c>
      <c r="D42" s="18" t="s">
        <v>5</v>
      </c>
      <c r="E42" s="18" t="s">
        <v>117</v>
      </c>
      <c r="F42" s="43">
        <v>46376</v>
      </c>
      <c r="G42" s="54">
        <v>46374</v>
      </c>
      <c r="H42" s="35" t="s">
        <v>120</v>
      </c>
      <c r="I42" s="36">
        <v>46369</v>
      </c>
      <c r="J42" s="36">
        <v>46371</v>
      </c>
      <c r="K42" s="35">
        <v>3</v>
      </c>
      <c r="L42" s="39" t="s">
        <v>121</v>
      </c>
      <c r="M42" s="40">
        <v>46372</v>
      </c>
      <c r="N42" s="40">
        <v>46373</v>
      </c>
      <c r="O42" s="39">
        <v>2</v>
      </c>
      <c r="P42" s="50" t="s">
        <v>1814</v>
      </c>
      <c r="Q42" s="51">
        <v>46374</v>
      </c>
      <c r="R42" s="51">
        <v>46374</v>
      </c>
      <c r="S42" s="50">
        <v>1</v>
      </c>
      <c r="T42" s="18" t="s">
        <v>123</v>
      </c>
      <c r="U42" s="27" t="s">
        <v>353</v>
      </c>
    </row>
    <row r="43" spans="1:21" x14ac:dyDescent="0.3">
      <c r="A43" s="24" t="s">
        <v>1862</v>
      </c>
      <c r="B43" s="18" t="s">
        <v>251</v>
      </c>
      <c r="C43" s="18" t="s">
        <v>34</v>
      </c>
      <c r="D43" s="18" t="s">
        <v>6</v>
      </c>
      <c r="E43" s="18" t="s">
        <v>127</v>
      </c>
      <c r="F43" s="43">
        <v>46380</v>
      </c>
      <c r="G43" s="54">
        <v>46378</v>
      </c>
      <c r="H43" s="35" t="s">
        <v>130</v>
      </c>
      <c r="I43" s="36">
        <v>46367</v>
      </c>
      <c r="J43" s="36">
        <v>46371</v>
      </c>
      <c r="K43" s="35">
        <v>5</v>
      </c>
      <c r="L43" s="39" t="s">
        <v>131</v>
      </c>
      <c r="M43" s="40">
        <v>46372</v>
      </c>
      <c r="N43" s="40">
        <v>46374</v>
      </c>
      <c r="O43" s="39">
        <v>3</v>
      </c>
      <c r="P43" s="50" t="s">
        <v>1816</v>
      </c>
      <c r="Q43" s="51">
        <v>46375</v>
      </c>
      <c r="R43" s="51">
        <v>46376</v>
      </c>
      <c r="S43" s="50">
        <v>2</v>
      </c>
      <c r="T43" s="18"/>
      <c r="U43" s="27" t="s">
        <v>339</v>
      </c>
    </row>
    <row r="44" spans="1:21" x14ac:dyDescent="0.3">
      <c r="A44" s="24" t="s">
        <v>1863</v>
      </c>
      <c r="B44" s="18" t="s">
        <v>253</v>
      </c>
      <c r="C44" s="18" t="s">
        <v>45</v>
      </c>
      <c r="D44" s="18" t="s">
        <v>7</v>
      </c>
      <c r="E44" s="18" t="s">
        <v>127</v>
      </c>
      <c r="F44" s="43">
        <v>46379</v>
      </c>
      <c r="G44" s="54">
        <v>46377</v>
      </c>
      <c r="H44" s="35" t="s">
        <v>120</v>
      </c>
      <c r="I44" s="36">
        <v>46366</v>
      </c>
      <c r="J44" s="36">
        <v>46370</v>
      </c>
      <c r="K44" s="35">
        <v>5</v>
      </c>
      <c r="L44" s="39" t="s">
        <v>121</v>
      </c>
      <c r="M44" s="40">
        <v>46371</v>
      </c>
      <c r="N44" s="40">
        <v>46373</v>
      </c>
      <c r="O44" s="39">
        <v>3</v>
      </c>
      <c r="P44" s="50" t="s">
        <v>1818</v>
      </c>
      <c r="Q44" s="51">
        <v>46374</v>
      </c>
      <c r="R44" s="51">
        <v>46375</v>
      </c>
      <c r="S44" s="50">
        <v>2</v>
      </c>
      <c r="T44" s="18" t="s">
        <v>123</v>
      </c>
      <c r="U44" s="27" t="s">
        <v>354</v>
      </c>
    </row>
    <row r="45" spans="1:21" x14ac:dyDescent="0.3">
      <c r="A45" s="24" t="s">
        <v>1864</v>
      </c>
      <c r="B45" s="18" t="s">
        <v>255</v>
      </c>
      <c r="C45" s="18" t="s">
        <v>54</v>
      </c>
      <c r="D45" s="18" t="s">
        <v>8</v>
      </c>
      <c r="E45" s="18" t="s">
        <v>127</v>
      </c>
      <c r="F45" s="43">
        <v>46391</v>
      </c>
      <c r="G45" s="54">
        <v>46389</v>
      </c>
      <c r="H45" s="35" t="s">
        <v>257</v>
      </c>
      <c r="I45" s="36">
        <v>46378</v>
      </c>
      <c r="J45" s="36">
        <v>46382</v>
      </c>
      <c r="K45" s="35">
        <v>5</v>
      </c>
      <c r="L45" s="39" t="s">
        <v>139</v>
      </c>
      <c r="M45" s="40">
        <v>46383</v>
      </c>
      <c r="N45" s="40">
        <v>46385</v>
      </c>
      <c r="O45" s="39">
        <v>3</v>
      </c>
      <c r="P45" s="50" t="s">
        <v>1820</v>
      </c>
      <c r="Q45" s="51">
        <v>46386</v>
      </c>
      <c r="R45" s="51">
        <v>46387</v>
      </c>
      <c r="S45" s="50">
        <v>2</v>
      </c>
      <c r="T45" s="18"/>
      <c r="U45" s="27" t="s">
        <v>355</v>
      </c>
    </row>
    <row r="46" spans="1:21" x14ac:dyDescent="0.3">
      <c r="A46" s="24" t="s">
        <v>1865</v>
      </c>
      <c r="B46" s="18" t="s">
        <v>258</v>
      </c>
      <c r="C46" s="18" t="s">
        <v>66</v>
      </c>
      <c r="D46" s="18" t="s">
        <v>9</v>
      </c>
      <c r="E46" s="18" t="s">
        <v>163</v>
      </c>
      <c r="F46" s="43">
        <v>46395</v>
      </c>
      <c r="G46" s="54">
        <v>46392</v>
      </c>
      <c r="H46" s="35" t="s">
        <v>143</v>
      </c>
      <c r="I46" s="36">
        <v>46369</v>
      </c>
      <c r="J46" s="36">
        <v>46378</v>
      </c>
      <c r="K46" s="35">
        <v>10</v>
      </c>
      <c r="L46" s="39" t="s">
        <v>144</v>
      </c>
      <c r="M46" s="40">
        <v>46379</v>
      </c>
      <c r="N46" s="40">
        <v>46383</v>
      </c>
      <c r="O46" s="39">
        <v>5</v>
      </c>
      <c r="P46" s="50" t="s">
        <v>1822</v>
      </c>
      <c r="Q46" s="51">
        <v>46385</v>
      </c>
      <c r="R46" s="51">
        <v>46388</v>
      </c>
      <c r="S46" s="50">
        <v>4</v>
      </c>
      <c r="T46" s="18"/>
      <c r="U46" s="27" t="s">
        <v>348</v>
      </c>
    </row>
    <row r="47" spans="1:21" x14ac:dyDescent="0.3">
      <c r="A47" s="24" t="s">
        <v>1866</v>
      </c>
      <c r="B47" s="18" t="s">
        <v>260</v>
      </c>
      <c r="C47" s="18" t="s">
        <v>74</v>
      </c>
      <c r="D47" s="18" t="s">
        <v>10</v>
      </c>
      <c r="E47" s="18" t="s">
        <v>117</v>
      </c>
      <c r="F47" s="43">
        <v>46399</v>
      </c>
      <c r="G47" s="54">
        <v>46397</v>
      </c>
      <c r="H47" s="35" t="s">
        <v>262</v>
      </c>
      <c r="I47" s="36">
        <v>46392</v>
      </c>
      <c r="J47" s="36">
        <v>46394</v>
      </c>
      <c r="K47" s="35">
        <v>3</v>
      </c>
      <c r="L47" s="39" t="s">
        <v>241</v>
      </c>
      <c r="M47" s="40">
        <v>46395</v>
      </c>
      <c r="N47" s="40">
        <v>46396</v>
      </c>
      <c r="O47" s="39">
        <v>2</v>
      </c>
      <c r="P47" s="50" t="s">
        <v>1824</v>
      </c>
      <c r="Q47" s="51">
        <v>46397</v>
      </c>
      <c r="R47" s="51">
        <v>46397</v>
      </c>
      <c r="S47" s="50">
        <v>1</v>
      </c>
      <c r="T47" s="18"/>
      <c r="U47" s="27" t="s">
        <v>339</v>
      </c>
    </row>
    <row r="48" spans="1:21" x14ac:dyDescent="0.3">
      <c r="A48" s="24" t="s">
        <v>1867</v>
      </c>
      <c r="B48" s="18" t="s">
        <v>263</v>
      </c>
      <c r="C48" s="18" t="s">
        <v>88</v>
      </c>
      <c r="D48" s="18" t="s">
        <v>11</v>
      </c>
      <c r="E48" s="18" t="s">
        <v>127</v>
      </c>
      <c r="F48" s="43">
        <v>46403</v>
      </c>
      <c r="G48" s="54">
        <v>46401</v>
      </c>
      <c r="H48" s="35" t="s">
        <v>204</v>
      </c>
      <c r="I48" s="36">
        <v>46390</v>
      </c>
      <c r="J48" s="36">
        <v>46394</v>
      </c>
      <c r="K48" s="35">
        <v>5</v>
      </c>
      <c r="L48" s="39" t="s">
        <v>205</v>
      </c>
      <c r="M48" s="40">
        <v>46395</v>
      </c>
      <c r="N48" s="40">
        <v>46397</v>
      </c>
      <c r="O48" s="39">
        <v>3</v>
      </c>
      <c r="P48" s="50" t="s">
        <v>1826</v>
      </c>
      <c r="Q48" s="51">
        <v>46398</v>
      </c>
      <c r="R48" s="51">
        <v>46399</v>
      </c>
      <c r="S48" s="50">
        <v>2</v>
      </c>
      <c r="T48" s="18"/>
      <c r="U48" s="27" t="s">
        <v>352</v>
      </c>
    </row>
    <row r="49" spans="1:21" x14ac:dyDescent="0.3">
      <c r="A49" s="24" t="s">
        <v>1868</v>
      </c>
      <c r="B49" s="18" t="s">
        <v>265</v>
      </c>
      <c r="C49" s="18" t="s">
        <v>97</v>
      </c>
      <c r="D49" s="18" t="s">
        <v>12</v>
      </c>
      <c r="E49" s="18" t="s">
        <v>117</v>
      </c>
      <c r="F49" s="43">
        <v>46407</v>
      </c>
      <c r="G49" s="54">
        <v>46405</v>
      </c>
      <c r="H49" s="35" t="s">
        <v>248</v>
      </c>
      <c r="I49" s="36">
        <v>46400</v>
      </c>
      <c r="J49" s="36">
        <v>46402</v>
      </c>
      <c r="K49" s="35">
        <v>3</v>
      </c>
      <c r="L49" s="39" t="s">
        <v>267</v>
      </c>
      <c r="M49" s="40">
        <v>46403</v>
      </c>
      <c r="N49" s="40">
        <v>46404</v>
      </c>
      <c r="O49" s="39">
        <v>2</v>
      </c>
      <c r="P49" s="50" t="s">
        <v>1828</v>
      </c>
      <c r="Q49" s="51">
        <v>46405</v>
      </c>
      <c r="R49" s="51">
        <v>46405</v>
      </c>
      <c r="S49" s="50">
        <v>1</v>
      </c>
      <c r="T49" s="18"/>
      <c r="U49" s="27" t="s">
        <v>356</v>
      </c>
    </row>
    <row r="50" spans="1:21" x14ac:dyDescent="0.3">
      <c r="A50" s="24" t="s">
        <v>1869</v>
      </c>
      <c r="B50" s="18" t="s">
        <v>268</v>
      </c>
      <c r="C50" s="18" t="s">
        <v>14</v>
      </c>
      <c r="D50" s="18" t="s">
        <v>5</v>
      </c>
      <c r="E50" s="18" t="s">
        <v>117</v>
      </c>
      <c r="F50" s="43">
        <v>46411</v>
      </c>
      <c r="G50" s="54">
        <v>46409</v>
      </c>
      <c r="H50" s="35" t="s">
        <v>270</v>
      </c>
      <c r="I50" s="36">
        <v>46404</v>
      </c>
      <c r="J50" s="36">
        <v>46406</v>
      </c>
      <c r="K50" s="35">
        <v>3</v>
      </c>
      <c r="L50" s="39" t="s">
        <v>211</v>
      </c>
      <c r="M50" s="40">
        <v>46407</v>
      </c>
      <c r="N50" s="40">
        <v>46408</v>
      </c>
      <c r="O50" s="39">
        <v>2</v>
      </c>
      <c r="P50" s="50" t="s">
        <v>1814</v>
      </c>
      <c r="Q50" s="51">
        <v>46409</v>
      </c>
      <c r="R50" s="51">
        <v>46409</v>
      </c>
      <c r="S50" s="50">
        <v>1</v>
      </c>
      <c r="T50" s="18"/>
      <c r="U50" s="27" t="s">
        <v>347</v>
      </c>
    </row>
    <row r="51" spans="1:21" x14ac:dyDescent="0.3">
      <c r="A51" s="24" t="s">
        <v>1870</v>
      </c>
      <c r="B51" s="18" t="s">
        <v>271</v>
      </c>
      <c r="C51" s="18" t="s">
        <v>35</v>
      </c>
      <c r="D51" s="18" t="s">
        <v>6</v>
      </c>
      <c r="E51" s="18" t="s">
        <v>117</v>
      </c>
      <c r="F51" s="43">
        <v>46418</v>
      </c>
      <c r="G51" s="54">
        <v>46416</v>
      </c>
      <c r="H51" s="35" t="s">
        <v>130</v>
      </c>
      <c r="I51" s="36">
        <v>46411</v>
      </c>
      <c r="J51" s="36">
        <v>46413</v>
      </c>
      <c r="K51" s="35">
        <v>3</v>
      </c>
      <c r="L51" s="39" t="s">
        <v>189</v>
      </c>
      <c r="M51" s="40">
        <v>46414</v>
      </c>
      <c r="N51" s="40">
        <v>46415</v>
      </c>
      <c r="O51" s="39">
        <v>2</v>
      </c>
      <c r="P51" s="50" t="s">
        <v>1816</v>
      </c>
      <c r="Q51" s="51">
        <v>46416</v>
      </c>
      <c r="R51" s="51">
        <v>46416</v>
      </c>
      <c r="S51" s="50">
        <v>1</v>
      </c>
      <c r="T51" s="18"/>
      <c r="U51" s="27" t="s">
        <v>351</v>
      </c>
    </row>
    <row r="52" spans="1:21" x14ac:dyDescent="0.3">
      <c r="A52" s="24" t="s">
        <v>1871</v>
      </c>
      <c r="B52" s="18" t="s">
        <v>273</v>
      </c>
      <c r="C52" s="18" t="s">
        <v>47</v>
      </c>
      <c r="D52" s="18" t="s">
        <v>7</v>
      </c>
      <c r="E52" s="18" t="s">
        <v>127</v>
      </c>
      <c r="F52" s="43">
        <v>46422</v>
      </c>
      <c r="G52" s="54">
        <v>46420</v>
      </c>
      <c r="H52" s="35" t="s">
        <v>275</v>
      </c>
      <c r="I52" s="36">
        <v>46409</v>
      </c>
      <c r="J52" s="36">
        <v>46413</v>
      </c>
      <c r="K52" s="35">
        <v>5</v>
      </c>
      <c r="L52" s="39" t="s">
        <v>193</v>
      </c>
      <c r="M52" s="40">
        <v>46414</v>
      </c>
      <c r="N52" s="40">
        <v>46416</v>
      </c>
      <c r="O52" s="39">
        <v>3</v>
      </c>
      <c r="P52" s="50" t="s">
        <v>1818</v>
      </c>
      <c r="Q52" s="51">
        <v>46417</v>
      </c>
      <c r="R52" s="51">
        <v>46418</v>
      </c>
      <c r="S52" s="50">
        <v>2</v>
      </c>
      <c r="T52" s="18"/>
      <c r="U52" s="27" t="s">
        <v>357</v>
      </c>
    </row>
    <row r="53" spans="1:21" x14ac:dyDescent="0.3">
      <c r="A53" s="24" t="s">
        <v>1872</v>
      </c>
      <c r="B53" s="18" t="s">
        <v>276</v>
      </c>
      <c r="C53" s="18" t="s">
        <v>53</v>
      </c>
      <c r="D53" s="18" t="s">
        <v>8</v>
      </c>
      <c r="E53" s="18" t="s">
        <v>117</v>
      </c>
      <c r="F53" s="43">
        <v>46426</v>
      </c>
      <c r="G53" s="54">
        <v>46424</v>
      </c>
      <c r="H53" s="35" t="s">
        <v>257</v>
      </c>
      <c r="I53" s="36">
        <v>46419</v>
      </c>
      <c r="J53" s="36">
        <v>46421</v>
      </c>
      <c r="K53" s="35">
        <v>3</v>
      </c>
      <c r="L53" s="39" t="s">
        <v>139</v>
      </c>
      <c r="M53" s="40">
        <v>46422</v>
      </c>
      <c r="N53" s="40">
        <v>46423</v>
      </c>
      <c r="O53" s="39">
        <v>2</v>
      </c>
      <c r="P53" s="50" t="s">
        <v>1820</v>
      </c>
      <c r="Q53" s="51">
        <v>46424</v>
      </c>
      <c r="R53" s="51">
        <v>46424</v>
      </c>
      <c r="S53" s="50">
        <v>1</v>
      </c>
      <c r="T53" s="18"/>
      <c r="U53" s="27" t="s">
        <v>347</v>
      </c>
    </row>
    <row r="54" spans="1:21" x14ac:dyDescent="0.3">
      <c r="A54" s="24" t="s">
        <v>1873</v>
      </c>
      <c r="B54" s="18" t="s">
        <v>278</v>
      </c>
      <c r="C54" s="18" t="s">
        <v>66</v>
      </c>
      <c r="D54" s="18" t="s">
        <v>9</v>
      </c>
      <c r="E54" s="18" t="s">
        <v>163</v>
      </c>
      <c r="F54" s="43">
        <v>46430</v>
      </c>
      <c r="G54" s="54">
        <v>46427</v>
      </c>
      <c r="H54" s="35" t="s">
        <v>173</v>
      </c>
      <c r="I54" s="36">
        <v>46404</v>
      </c>
      <c r="J54" s="36">
        <v>46413</v>
      </c>
      <c r="K54" s="35">
        <v>10</v>
      </c>
      <c r="L54" s="39" t="s">
        <v>238</v>
      </c>
      <c r="M54" s="40">
        <v>46414</v>
      </c>
      <c r="N54" s="40">
        <v>46418</v>
      </c>
      <c r="O54" s="39">
        <v>5</v>
      </c>
      <c r="P54" s="50" t="s">
        <v>1822</v>
      </c>
      <c r="Q54" s="51">
        <v>46420</v>
      </c>
      <c r="R54" s="51">
        <v>46423</v>
      </c>
      <c r="S54" s="50">
        <v>4</v>
      </c>
      <c r="T54" s="18"/>
      <c r="U54" s="27" t="s">
        <v>350</v>
      </c>
    </row>
    <row r="55" spans="1:21" x14ac:dyDescent="0.3">
      <c r="A55" s="24" t="s">
        <v>1874</v>
      </c>
      <c r="B55" s="18" t="s">
        <v>280</v>
      </c>
      <c r="C55" s="18" t="s">
        <v>73</v>
      </c>
      <c r="D55" s="18" t="s">
        <v>10</v>
      </c>
      <c r="E55" s="18" t="s">
        <v>163</v>
      </c>
      <c r="F55" s="43">
        <v>46434</v>
      </c>
      <c r="G55" s="54">
        <v>46431</v>
      </c>
      <c r="H55" s="35" t="s">
        <v>148</v>
      </c>
      <c r="I55" s="36">
        <v>46408</v>
      </c>
      <c r="J55" s="36">
        <v>46417</v>
      </c>
      <c r="K55" s="35">
        <v>10</v>
      </c>
      <c r="L55" s="39" t="s">
        <v>149</v>
      </c>
      <c r="M55" s="40">
        <v>46418</v>
      </c>
      <c r="N55" s="40">
        <v>46422</v>
      </c>
      <c r="O55" s="39">
        <v>5</v>
      </c>
      <c r="P55" s="50" t="s">
        <v>1824</v>
      </c>
      <c r="Q55" s="51">
        <v>46424</v>
      </c>
      <c r="R55" s="51">
        <v>46427</v>
      </c>
      <c r="S55" s="50">
        <v>4</v>
      </c>
      <c r="T55" s="18"/>
      <c r="U55" s="27" t="s">
        <v>358</v>
      </c>
    </row>
    <row r="56" spans="1:21" x14ac:dyDescent="0.3">
      <c r="A56" s="24" t="s">
        <v>1875</v>
      </c>
      <c r="B56" s="18" t="s">
        <v>282</v>
      </c>
      <c r="C56" s="18" t="s">
        <v>88</v>
      </c>
      <c r="D56" s="18" t="s">
        <v>11</v>
      </c>
      <c r="E56" s="18" t="s">
        <v>163</v>
      </c>
      <c r="F56" s="43">
        <v>46438</v>
      </c>
      <c r="G56" s="54">
        <v>46435</v>
      </c>
      <c r="H56" s="35" t="s">
        <v>244</v>
      </c>
      <c r="I56" s="36">
        <v>46412</v>
      </c>
      <c r="J56" s="36">
        <v>46421</v>
      </c>
      <c r="K56" s="35">
        <v>10</v>
      </c>
      <c r="L56" s="39" t="s">
        <v>245</v>
      </c>
      <c r="M56" s="40">
        <v>46422</v>
      </c>
      <c r="N56" s="40">
        <v>46426</v>
      </c>
      <c r="O56" s="39">
        <v>5</v>
      </c>
      <c r="P56" s="50" t="s">
        <v>1826</v>
      </c>
      <c r="Q56" s="51">
        <v>46428</v>
      </c>
      <c r="R56" s="51">
        <v>46431</v>
      </c>
      <c r="S56" s="50">
        <v>4</v>
      </c>
      <c r="T56" s="18"/>
      <c r="U56" s="27" t="s">
        <v>359</v>
      </c>
    </row>
    <row r="57" spans="1:21" x14ac:dyDescent="0.3">
      <c r="A57" s="24" t="s">
        <v>1876</v>
      </c>
      <c r="B57" s="18" t="s">
        <v>284</v>
      </c>
      <c r="C57" s="18" t="s">
        <v>97</v>
      </c>
      <c r="D57" s="18" t="s">
        <v>12</v>
      </c>
      <c r="E57" s="18" t="s">
        <v>127</v>
      </c>
      <c r="F57" s="43">
        <v>46442</v>
      </c>
      <c r="G57" s="54">
        <v>46440</v>
      </c>
      <c r="H57" s="35" t="s">
        <v>155</v>
      </c>
      <c r="I57" s="36">
        <v>46429</v>
      </c>
      <c r="J57" s="36">
        <v>46433</v>
      </c>
      <c r="K57" s="35">
        <v>5</v>
      </c>
      <c r="L57" s="39" t="s">
        <v>156</v>
      </c>
      <c r="M57" s="40">
        <v>46434</v>
      </c>
      <c r="N57" s="40">
        <v>46436</v>
      </c>
      <c r="O57" s="39">
        <v>3</v>
      </c>
      <c r="P57" s="50" t="s">
        <v>1828</v>
      </c>
      <c r="Q57" s="51">
        <v>46437</v>
      </c>
      <c r="R57" s="51">
        <v>46438</v>
      </c>
      <c r="S57" s="50">
        <v>2</v>
      </c>
      <c r="T57" s="18" t="s">
        <v>123</v>
      </c>
      <c r="U57" s="27" t="s">
        <v>360</v>
      </c>
    </row>
    <row r="58" spans="1:21" x14ac:dyDescent="0.3">
      <c r="A58" s="24" t="s">
        <v>1877</v>
      </c>
      <c r="B58" s="18" t="s">
        <v>286</v>
      </c>
      <c r="C58" s="18" t="s">
        <v>17</v>
      </c>
      <c r="D58" s="18" t="s">
        <v>5</v>
      </c>
      <c r="E58" s="18" t="s">
        <v>127</v>
      </c>
      <c r="F58" s="43">
        <v>46446</v>
      </c>
      <c r="G58" s="54">
        <v>46444</v>
      </c>
      <c r="H58" s="35" t="s">
        <v>270</v>
      </c>
      <c r="I58" s="36">
        <v>46433</v>
      </c>
      <c r="J58" s="36">
        <v>46437</v>
      </c>
      <c r="K58" s="35">
        <v>5</v>
      </c>
      <c r="L58" s="39" t="s">
        <v>121</v>
      </c>
      <c r="M58" s="40">
        <v>46438</v>
      </c>
      <c r="N58" s="40">
        <v>46440</v>
      </c>
      <c r="O58" s="39">
        <v>3</v>
      </c>
      <c r="P58" s="50" t="s">
        <v>1814</v>
      </c>
      <c r="Q58" s="51">
        <v>46441</v>
      </c>
      <c r="R58" s="51">
        <v>46442</v>
      </c>
      <c r="S58" s="50">
        <v>2</v>
      </c>
      <c r="T58" s="18"/>
      <c r="U58" s="27" t="s">
        <v>356</v>
      </c>
    </row>
    <row r="59" spans="1:21" x14ac:dyDescent="0.3">
      <c r="A59" s="24" t="s">
        <v>1878</v>
      </c>
      <c r="B59" s="18" t="s">
        <v>288</v>
      </c>
      <c r="C59" s="18" t="s">
        <v>36</v>
      </c>
      <c r="D59" s="18" t="s">
        <v>6</v>
      </c>
      <c r="E59" s="18" t="s">
        <v>127</v>
      </c>
      <c r="F59" s="43">
        <v>46445</v>
      </c>
      <c r="G59" s="54">
        <v>46443</v>
      </c>
      <c r="H59" s="35" t="s">
        <v>155</v>
      </c>
      <c r="I59" s="36">
        <v>46432</v>
      </c>
      <c r="J59" s="36">
        <v>46436</v>
      </c>
      <c r="K59" s="35">
        <v>5</v>
      </c>
      <c r="L59" s="39" t="s">
        <v>156</v>
      </c>
      <c r="M59" s="40">
        <v>46437</v>
      </c>
      <c r="N59" s="40">
        <v>46439</v>
      </c>
      <c r="O59" s="39">
        <v>3</v>
      </c>
      <c r="P59" s="50" t="s">
        <v>1816</v>
      </c>
      <c r="Q59" s="51">
        <v>46440</v>
      </c>
      <c r="R59" s="51">
        <v>46441</v>
      </c>
      <c r="S59" s="50">
        <v>2</v>
      </c>
      <c r="T59" s="18" t="s">
        <v>123</v>
      </c>
      <c r="U59" s="27" t="s">
        <v>361</v>
      </c>
    </row>
    <row r="60" spans="1:21" x14ac:dyDescent="0.3">
      <c r="A60" s="24" t="s">
        <v>1879</v>
      </c>
      <c r="B60" s="18" t="s">
        <v>290</v>
      </c>
      <c r="C60" s="18" t="s">
        <v>44</v>
      </c>
      <c r="D60" s="18" t="s">
        <v>7</v>
      </c>
      <c r="E60" s="18" t="s">
        <v>127</v>
      </c>
      <c r="F60" s="43">
        <v>46454</v>
      </c>
      <c r="G60" s="54">
        <v>46452</v>
      </c>
      <c r="H60" s="35" t="s">
        <v>275</v>
      </c>
      <c r="I60" s="36">
        <v>46441</v>
      </c>
      <c r="J60" s="36">
        <v>46445</v>
      </c>
      <c r="K60" s="35">
        <v>5</v>
      </c>
      <c r="L60" s="39" t="s">
        <v>193</v>
      </c>
      <c r="M60" s="40">
        <v>46446</v>
      </c>
      <c r="N60" s="40">
        <v>46448</v>
      </c>
      <c r="O60" s="39">
        <v>3</v>
      </c>
      <c r="P60" s="50" t="s">
        <v>1818</v>
      </c>
      <c r="Q60" s="51">
        <v>46449</v>
      </c>
      <c r="R60" s="51">
        <v>46450</v>
      </c>
      <c r="S60" s="50">
        <v>2</v>
      </c>
      <c r="T60" s="18"/>
      <c r="U60" s="27" t="s">
        <v>345</v>
      </c>
    </row>
    <row r="61" spans="1:21" x14ac:dyDescent="0.3">
      <c r="A61" s="24" t="s">
        <v>1880</v>
      </c>
      <c r="B61" s="18" t="s">
        <v>292</v>
      </c>
      <c r="C61" s="18" t="s">
        <v>59</v>
      </c>
      <c r="D61" s="18" t="s">
        <v>8</v>
      </c>
      <c r="E61" s="18" t="s">
        <v>117</v>
      </c>
      <c r="F61" s="43">
        <v>46458</v>
      </c>
      <c r="G61" s="54">
        <v>46456</v>
      </c>
      <c r="H61" s="35" t="s">
        <v>294</v>
      </c>
      <c r="I61" s="36">
        <v>46451</v>
      </c>
      <c r="J61" s="36">
        <v>46453</v>
      </c>
      <c r="K61" s="35">
        <v>3</v>
      </c>
      <c r="L61" s="39" t="s">
        <v>295</v>
      </c>
      <c r="M61" s="40">
        <v>46454</v>
      </c>
      <c r="N61" s="40">
        <v>46455</v>
      </c>
      <c r="O61" s="39">
        <v>2</v>
      </c>
      <c r="P61" s="50" t="s">
        <v>1820</v>
      </c>
      <c r="Q61" s="51">
        <v>46456</v>
      </c>
      <c r="R61" s="51">
        <v>46456</v>
      </c>
      <c r="S61" s="50">
        <v>1</v>
      </c>
      <c r="T61" s="18"/>
      <c r="U61" s="27" t="s">
        <v>362</v>
      </c>
    </row>
    <row r="62" spans="1:21" x14ac:dyDescent="0.3">
      <c r="A62" s="24" t="s">
        <v>1881</v>
      </c>
      <c r="B62" s="18" t="s">
        <v>296</v>
      </c>
      <c r="C62" s="18" t="s">
        <v>70</v>
      </c>
      <c r="D62" s="18" t="s">
        <v>9</v>
      </c>
      <c r="E62" s="18" t="s">
        <v>127</v>
      </c>
      <c r="F62" s="43">
        <v>46462</v>
      </c>
      <c r="G62" s="54">
        <v>46460</v>
      </c>
      <c r="H62" s="35" t="s">
        <v>298</v>
      </c>
      <c r="I62" s="36">
        <v>46449</v>
      </c>
      <c r="J62" s="36">
        <v>46453</v>
      </c>
      <c r="K62" s="35">
        <v>5</v>
      </c>
      <c r="L62" s="39" t="s">
        <v>144</v>
      </c>
      <c r="M62" s="40">
        <v>46454</v>
      </c>
      <c r="N62" s="40">
        <v>46456</v>
      </c>
      <c r="O62" s="39">
        <v>3</v>
      </c>
      <c r="P62" s="50" t="s">
        <v>1822</v>
      </c>
      <c r="Q62" s="51">
        <v>46457</v>
      </c>
      <c r="R62" s="51">
        <v>46458</v>
      </c>
      <c r="S62" s="50">
        <v>2</v>
      </c>
      <c r="T62" s="18"/>
      <c r="U62" s="27" t="s">
        <v>345</v>
      </c>
    </row>
    <row r="63" spans="1:21" x14ac:dyDescent="0.3">
      <c r="A63" s="24" t="s">
        <v>1882</v>
      </c>
      <c r="B63" s="18" t="s">
        <v>299</v>
      </c>
      <c r="C63" s="18" t="s">
        <v>74</v>
      </c>
      <c r="D63" s="18" t="s">
        <v>10</v>
      </c>
      <c r="E63" s="18" t="s">
        <v>117</v>
      </c>
      <c r="F63" s="43">
        <v>46466</v>
      </c>
      <c r="G63" s="54">
        <v>46464</v>
      </c>
      <c r="H63" s="35" t="s">
        <v>262</v>
      </c>
      <c r="I63" s="36">
        <v>46459</v>
      </c>
      <c r="J63" s="36">
        <v>46461</v>
      </c>
      <c r="K63" s="35">
        <v>3</v>
      </c>
      <c r="L63" s="39" t="s">
        <v>241</v>
      </c>
      <c r="M63" s="40">
        <v>46462</v>
      </c>
      <c r="N63" s="40">
        <v>46463</v>
      </c>
      <c r="O63" s="39">
        <v>2</v>
      </c>
      <c r="P63" s="50" t="s">
        <v>1824</v>
      </c>
      <c r="Q63" s="51">
        <v>46464</v>
      </c>
      <c r="R63" s="51">
        <v>46464</v>
      </c>
      <c r="S63" s="50">
        <v>1</v>
      </c>
      <c r="T63" s="18"/>
      <c r="U63" s="27" t="s">
        <v>350</v>
      </c>
    </row>
    <row r="64" spans="1:21" x14ac:dyDescent="0.3">
      <c r="A64" s="24" t="s">
        <v>1883</v>
      </c>
      <c r="B64" s="18" t="s">
        <v>301</v>
      </c>
      <c r="C64" s="18" t="s">
        <v>84</v>
      </c>
      <c r="D64" s="18" t="s">
        <v>11</v>
      </c>
      <c r="E64" s="18" t="s">
        <v>127</v>
      </c>
      <c r="F64" s="43">
        <v>46470</v>
      </c>
      <c r="G64" s="54">
        <v>46468</v>
      </c>
      <c r="H64" s="35" t="s">
        <v>303</v>
      </c>
      <c r="I64" s="36">
        <v>46457</v>
      </c>
      <c r="J64" s="36">
        <v>46461</v>
      </c>
      <c r="K64" s="35">
        <v>5</v>
      </c>
      <c r="L64" s="39" t="s">
        <v>205</v>
      </c>
      <c r="M64" s="40">
        <v>46462</v>
      </c>
      <c r="N64" s="40">
        <v>46464</v>
      </c>
      <c r="O64" s="39">
        <v>3</v>
      </c>
      <c r="P64" s="50" t="s">
        <v>1826</v>
      </c>
      <c r="Q64" s="51">
        <v>46465</v>
      </c>
      <c r="R64" s="51">
        <v>46466</v>
      </c>
      <c r="S64" s="50">
        <v>2</v>
      </c>
      <c r="T64" s="18"/>
      <c r="U64" s="27" t="s">
        <v>363</v>
      </c>
    </row>
    <row r="65" spans="1:21" x14ac:dyDescent="0.3">
      <c r="A65" s="24" t="s">
        <v>1884</v>
      </c>
      <c r="B65" s="18" t="s">
        <v>304</v>
      </c>
      <c r="C65" s="18" t="s">
        <v>96</v>
      </c>
      <c r="D65" s="18" t="s">
        <v>12</v>
      </c>
      <c r="E65" s="18" t="s">
        <v>127</v>
      </c>
      <c r="F65" s="43">
        <v>46477</v>
      </c>
      <c r="G65" s="54">
        <v>46475</v>
      </c>
      <c r="H65" s="35" t="s">
        <v>248</v>
      </c>
      <c r="I65" s="36">
        <v>46464</v>
      </c>
      <c r="J65" s="36">
        <v>46468</v>
      </c>
      <c r="K65" s="35">
        <v>5</v>
      </c>
      <c r="L65" s="39" t="s">
        <v>156</v>
      </c>
      <c r="M65" s="40">
        <v>46469</v>
      </c>
      <c r="N65" s="40">
        <v>46471</v>
      </c>
      <c r="O65" s="39">
        <v>3</v>
      </c>
      <c r="P65" s="50" t="s">
        <v>1828</v>
      </c>
      <c r="Q65" s="51">
        <v>46472</v>
      </c>
      <c r="R65" s="51">
        <v>46473</v>
      </c>
      <c r="S65" s="50">
        <v>2</v>
      </c>
      <c r="T65" s="18"/>
      <c r="U65" s="27" t="s">
        <v>352</v>
      </c>
    </row>
    <row r="66" spans="1:21" x14ac:dyDescent="0.3">
      <c r="A66" s="24" t="s">
        <v>1885</v>
      </c>
      <c r="B66" s="18" t="s">
        <v>306</v>
      </c>
      <c r="C66" s="18" t="s">
        <v>15</v>
      </c>
      <c r="D66" s="18" t="s">
        <v>5</v>
      </c>
      <c r="E66" s="18" t="s">
        <v>163</v>
      </c>
      <c r="F66" s="43">
        <v>46481</v>
      </c>
      <c r="G66" s="54">
        <v>46478</v>
      </c>
      <c r="H66" s="35" t="s">
        <v>159</v>
      </c>
      <c r="I66" s="36">
        <v>46455</v>
      </c>
      <c r="J66" s="36">
        <v>46464</v>
      </c>
      <c r="K66" s="35">
        <v>10</v>
      </c>
      <c r="L66" s="39" t="s">
        <v>211</v>
      </c>
      <c r="M66" s="40">
        <v>46465</v>
      </c>
      <c r="N66" s="40">
        <v>46469</v>
      </c>
      <c r="O66" s="39">
        <v>5</v>
      </c>
      <c r="P66" s="50" t="s">
        <v>1814</v>
      </c>
      <c r="Q66" s="51">
        <v>46471</v>
      </c>
      <c r="R66" s="51">
        <v>46474</v>
      </c>
      <c r="S66" s="50">
        <v>4</v>
      </c>
      <c r="T66" s="18"/>
      <c r="U66" s="27" t="s">
        <v>349</v>
      </c>
    </row>
    <row r="67" spans="1:21" x14ac:dyDescent="0.3">
      <c r="A67" s="24" t="s">
        <v>1886</v>
      </c>
      <c r="B67" s="18" t="s">
        <v>308</v>
      </c>
      <c r="C67" s="18" t="s">
        <v>34</v>
      </c>
      <c r="D67" s="18" t="s">
        <v>6</v>
      </c>
      <c r="E67" s="18" t="s">
        <v>127</v>
      </c>
      <c r="F67" s="43">
        <v>46485</v>
      </c>
      <c r="G67" s="54">
        <v>46483</v>
      </c>
      <c r="H67" s="35" t="s">
        <v>310</v>
      </c>
      <c r="I67" s="36">
        <v>46472</v>
      </c>
      <c r="J67" s="36">
        <v>46476</v>
      </c>
      <c r="K67" s="35">
        <v>5</v>
      </c>
      <c r="L67" s="39" t="s">
        <v>131</v>
      </c>
      <c r="M67" s="40">
        <v>46477</v>
      </c>
      <c r="N67" s="40">
        <v>46479</v>
      </c>
      <c r="O67" s="39">
        <v>3</v>
      </c>
      <c r="P67" s="50" t="s">
        <v>1816</v>
      </c>
      <c r="Q67" s="51">
        <v>46480</v>
      </c>
      <c r="R67" s="51">
        <v>46481</v>
      </c>
      <c r="S67" s="50">
        <v>2</v>
      </c>
      <c r="T67" s="18" t="s">
        <v>123</v>
      </c>
      <c r="U67" s="27" t="s">
        <v>364</v>
      </c>
    </row>
    <row r="68" spans="1:21" x14ac:dyDescent="0.3">
      <c r="A68" s="24" t="s">
        <v>1887</v>
      </c>
      <c r="B68" s="18" t="s">
        <v>311</v>
      </c>
      <c r="C68" s="18" t="s">
        <v>43</v>
      </c>
      <c r="D68" s="18" t="s">
        <v>7</v>
      </c>
      <c r="E68" s="18" t="s">
        <v>163</v>
      </c>
      <c r="F68" s="43">
        <v>46489</v>
      </c>
      <c r="G68" s="54">
        <v>46486</v>
      </c>
      <c r="H68" s="35" t="s">
        <v>275</v>
      </c>
      <c r="I68" s="36">
        <v>46463</v>
      </c>
      <c r="J68" s="36">
        <v>46472</v>
      </c>
      <c r="K68" s="35">
        <v>10</v>
      </c>
      <c r="L68" s="39" t="s">
        <v>193</v>
      </c>
      <c r="M68" s="40">
        <v>46473</v>
      </c>
      <c r="N68" s="40">
        <v>46477</v>
      </c>
      <c r="O68" s="39">
        <v>5</v>
      </c>
      <c r="P68" s="50" t="s">
        <v>1818</v>
      </c>
      <c r="Q68" s="51">
        <v>46479</v>
      </c>
      <c r="R68" s="51">
        <v>46482</v>
      </c>
      <c r="S68" s="50">
        <v>4</v>
      </c>
      <c r="T68" s="18"/>
      <c r="U68" s="27" t="s">
        <v>340</v>
      </c>
    </row>
    <row r="69" spans="1:21" x14ac:dyDescent="0.3">
      <c r="A69" s="24" t="s">
        <v>1888</v>
      </c>
      <c r="B69" s="18" t="s">
        <v>313</v>
      </c>
      <c r="C69" s="18" t="s">
        <v>55</v>
      </c>
      <c r="D69" s="18" t="s">
        <v>8</v>
      </c>
      <c r="E69" s="18" t="s">
        <v>117</v>
      </c>
      <c r="F69" s="43">
        <v>46488</v>
      </c>
      <c r="G69" s="54">
        <v>46486</v>
      </c>
      <c r="H69" s="35" t="s">
        <v>310</v>
      </c>
      <c r="I69" s="36">
        <v>46481</v>
      </c>
      <c r="J69" s="36">
        <v>46483</v>
      </c>
      <c r="K69" s="35">
        <v>3</v>
      </c>
      <c r="L69" s="39" t="s">
        <v>131</v>
      </c>
      <c r="M69" s="40">
        <v>46484</v>
      </c>
      <c r="N69" s="40">
        <v>46485</v>
      </c>
      <c r="O69" s="39">
        <v>2</v>
      </c>
      <c r="P69" s="50" t="s">
        <v>1820</v>
      </c>
      <c r="Q69" s="51">
        <v>46486</v>
      </c>
      <c r="R69" s="51">
        <v>46486</v>
      </c>
      <c r="S69" s="50">
        <v>1</v>
      </c>
      <c r="T69" s="18" t="s">
        <v>123</v>
      </c>
      <c r="U69" s="27" t="s">
        <v>365</v>
      </c>
    </row>
    <row r="70" spans="1:21" x14ac:dyDescent="0.3">
      <c r="A70" s="24" t="s">
        <v>1889</v>
      </c>
      <c r="B70" s="18" t="s">
        <v>315</v>
      </c>
      <c r="C70" s="18" t="s">
        <v>64</v>
      </c>
      <c r="D70" s="18" t="s">
        <v>9</v>
      </c>
      <c r="E70" s="18" t="s">
        <v>117</v>
      </c>
      <c r="F70" s="43">
        <v>46497</v>
      </c>
      <c r="G70" s="54">
        <v>46495</v>
      </c>
      <c r="H70" s="35" t="s">
        <v>143</v>
      </c>
      <c r="I70" s="36">
        <v>46490</v>
      </c>
      <c r="J70" s="36">
        <v>46492</v>
      </c>
      <c r="K70" s="35">
        <v>3</v>
      </c>
      <c r="L70" s="39" t="s">
        <v>144</v>
      </c>
      <c r="M70" s="40">
        <v>46493</v>
      </c>
      <c r="N70" s="40">
        <v>46494</v>
      </c>
      <c r="O70" s="39">
        <v>2</v>
      </c>
      <c r="P70" s="50" t="s">
        <v>1822</v>
      </c>
      <c r="Q70" s="51">
        <v>46495</v>
      </c>
      <c r="R70" s="51">
        <v>46495</v>
      </c>
      <c r="S70" s="50">
        <v>1</v>
      </c>
      <c r="T70" s="18"/>
      <c r="U70" s="27" t="s">
        <v>359</v>
      </c>
    </row>
    <row r="71" spans="1:21" x14ac:dyDescent="0.3">
      <c r="A71" s="24" t="s">
        <v>1890</v>
      </c>
      <c r="B71" s="18" t="s">
        <v>317</v>
      </c>
      <c r="C71" s="18" t="s">
        <v>75</v>
      </c>
      <c r="D71" s="18" t="s">
        <v>10</v>
      </c>
      <c r="E71" s="18" t="s">
        <v>127</v>
      </c>
      <c r="F71" s="43">
        <v>46501</v>
      </c>
      <c r="G71" s="54">
        <v>46499</v>
      </c>
      <c r="H71" s="35" t="s">
        <v>223</v>
      </c>
      <c r="I71" s="36">
        <v>46488</v>
      </c>
      <c r="J71" s="36">
        <v>46492</v>
      </c>
      <c r="K71" s="35">
        <v>5</v>
      </c>
      <c r="L71" s="39" t="s">
        <v>241</v>
      </c>
      <c r="M71" s="40">
        <v>46493</v>
      </c>
      <c r="N71" s="40">
        <v>46495</v>
      </c>
      <c r="O71" s="39">
        <v>3</v>
      </c>
      <c r="P71" s="50" t="s">
        <v>1824</v>
      </c>
      <c r="Q71" s="51">
        <v>46496</v>
      </c>
      <c r="R71" s="51">
        <v>46497</v>
      </c>
      <c r="S71" s="50">
        <v>2</v>
      </c>
      <c r="T71" s="18"/>
      <c r="U71" s="27" t="s">
        <v>357</v>
      </c>
    </row>
    <row r="72" spans="1:21" x14ac:dyDescent="0.3">
      <c r="A72" s="24" t="s">
        <v>1891</v>
      </c>
      <c r="B72" s="18" t="s">
        <v>319</v>
      </c>
      <c r="C72" s="18" t="s">
        <v>90</v>
      </c>
      <c r="D72" s="18" t="s">
        <v>11</v>
      </c>
      <c r="E72" s="18" t="s">
        <v>117</v>
      </c>
      <c r="F72" s="43">
        <v>46507</v>
      </c>
      <c r="G72" s="54">
        <v>46505</v>
      </c>
      <c r="H72" s="35" t="s">
        <v>244</v>
      </c>
      <c r="I72" s="36">
        <v>46500</v>
      </c>
      <c r="J72" s="36">
        <v>46502</v>
      </c>
      <c r="K72" s="35">
        <v>3</v>
      </c>
      <c r="L72" s="39" t="s">
        <v>245</v>
      </c>
      <c r="M72" s="40">
        <v>46503</v>
      </c>
      <c r="N72" s="40">
        <v>46504</v>
      </c>
      <c r="O72" s="39">
        <v>2</v>
      </c>
      <c r="P72" s="50" t="s">
        <v>1826</v>
      </c>
      <c r="Q72" s="51">
        <v>46505</v>
      </c>
      <c r="R72" s="51">
        <v>46505</v>
      </c>
      <c r="S72" s="50">
        <v>1</v>
      </c>
      <c r="T72" s="18" t="s">
        <v>123</v>
      </c>
      <c r="U72" s="27" t="s">
        <v>366</v>
      </c>
    </row>
    <row r="73" spans="1:21" x14ac:dyDescent="0.3">
      <c r="A73" s="24" t="s">
        <v>1892</v>
      </c>
      <c r="B73" s="18" t="s">
        <v>321</v>
      </c>
      <c r="C73" s="18" t="s">
        <v>94</v>
      </c>
      <c r="D73" s="18" t="s">
        <v>12</v>
      </c>
      <c r="E73" s="18" t="s">
        <v>117</v>
      </c>
      <c r="F73" s="43">
        <v>46511</v>
      </c>
      <c r="G73" s="54">
        <v>46509</v>
      </c>
      <c r="H73" s="35" t="s">
        <v>155</v>
      </c>
      <c r="I73" s="36">
        <v>46504</v>
      </c>
      <c r="J73" s="36">
        <v>46506</v>
      </c>
      <c r="K73" s="35">
        <v>3</v>
      </c>
      <c r="L73" s="39" t="s">
        <v>267</v>
      </c>
      <c r="M73" s="40">
        <v>46507</v>
      </c>
      <c r="N73" s="40">
        <v>46508</v>
      </c>
      <c r="O73" s="39">
        <v>2</v>
      </c>
      <c r="P73" s="50" t="s">
        <v>1828</v>
      </c>
      <c r="Q73" s="51">
        <v>46509</v>
      </c>
      <c r="R73" s="51">
        <v>46509</v>
      </c>
      <c r="S73" s="50">
        <v>1</v>
      </c>
      <c r="T73" s="18"/>
      <c r="U73" s="27" t="s">
        <v>350</v>
      </c>
    </row>
    <row r="74" spans="1:21" x14ac:dyDescent="0.3">
      <c r="A74" s="24" t="s">
        <v>1893</v>
      </c>
      <c r="B74" s="18" t="s">
        <v>323</v>
      </c>
      <c r="C74" s="18" t="s">
        <v>16</v>
      </c>
      <c r="D74" s="18" t="s">
        <v>5</v>
      </c>
      <c r="E74" s="18" t="s">
        <v>127</v>
      </c>
      <c r="F74" s="43">
        <v>46510</v>
      </c>
      <c r="G74" s="54">
        <v>46508</v>
      </c>
      <c r="H74" s="35" t="s">
        <v>244</v>
      </c>
      <c r="I74" s="36">
        <v>46497</v>
      </c>
      <c r="J74" s="36">
        <v>46501</v>
      </c>
      <c r="K74" s="35">
        <v>5</v>
      </c>
      <c r="L74" s="39" t="s">
        <v>245</v>
      </c>
      <c r="M74" s="40">
        <v>46502</v>
      </c>
      <c r="N74" s="40">
        <v>46504</v>
      </c>
      <c r="O74" s="39">
        <v>3</v>
      </c>
      <c r="P74" s="50" t="s">
        <v>1814</v>
      </c>
      <c r="Q74" s="51">
        <v>46505</v>
      </c>
      <c r="R74" s="51">
        <v>46506</v>
      </c>
      <c r="S74" s="50">
        <v>2</v>
      </c>
      <c r="T74" s="18" t="s">
        <v>123</v>
      </c>
      <c r="U74" s="27" t="s">
        <v>367</v>
      </c>
    </row>
    <row r="75" spans="1:21" x14ac:dyDescent="0.3">
      <c r="A75" s="24" t="s">
        <v>1894</v>
      </c>
      <c r="B75" s="18" t="s">
        <v>325</v>
      </c>
      <c r="C75" s="18" t="s">
        <v>34</v>
      </c>
      <c r="D75" s="18" t="s">
        <v>6</v>
      </c>
      <c r="E75" s="18" t="s">
        <v>117</v>
      </c>
      <c r="F75" s="43">
        <v>46519</v>
      </c>
      <c r="G75" s="54">
        <v>46517</v>
      </c>
      <c r="H75" s="35" t="s">
        <v>188</v>
      </c>
      <c r="I75" s="36">
        <v>46512</v>
      </c>
      <c r="J75" s="36">
        <v>46514</v>
      </c>
      <c r="K75" s="35">
        <v>3</v>
      </c>
      <c r="L75" s="39" t="s">
        <v>189</v>
      </c>
      <c r="M75" s="40">
        <v>46515</v>
      </c>
      <c r="N75" s="40">
        <v>46516</v>
      </c>
      <c r="O75" s="39">
        <v>2</v>
      </c>
      <c r="P75" s="50" t="s">
        <v>1816</v>
      </c>
      <c r="Q75" s="51">
        <v>46517</v>
      </c>
      <c r="R75" s="51">
        <v>46517</v>
      </c>
      <c r="S75" s="50">
        <v>1</v>
      </c>
      <c r="T75" s="18"/>
      <c r="U75" s="27" t="s">
        <v>350</v>
      </c>
    </row>
    <row r="76" spans="1:21" x14ac:dyDescent="0.3">
      <c r="A76" s="24" t="s">
        <v>1895</v>
      </c>
      <c r="B76" s="18" t="s">
        <v>327</v>
      </c>
      <c r="C76" s="18" t="s">
        <v>47</v>
      </c>
      <c r="D76" s="18" t="s">
        <v>7</v>
      </c>
      <c r="E76" s="18" t="s">
        <v>127</v>
      </c>
      <c r="F76" s="43">
        <v>46523</v>
      </c>
      <c r="G76" s="54">
        <v>46521</v>
      </c>
      <c r="H76" s="35" t="s">
        <v>167</v>
      </c>
      <c r="I76" s="36">
        <v>46510</v>
      </c>
      <c r="J76" s="36">
        <v>46514</v>
      </c>
      <c r="K76" s="35">
        <v>5</v>
      </c>
      <c r="L76" s="39" t="s">
        <v>193</v>
      </c>
      <c r="M76" s="40">
        <v>46515</v>
      </c>
      <c r="N76" s="40">
        <v>46517</v>
      </c>
      <c r="O76" s="39">
        <v>3</v>
      </c>
      <c r="P76" s="50" t="s">
        <v>1818</v>
      </c>
      <c r="Q76" s="51">
        <v>46518</v>
      </c>
      <c r="R76" s="51">
        <v>46519</v>
      </c>
      <c r="S76" s="50">
        <v>2</v>
      </c>
      <c r="T76" s="18"/>
      <c r="U76" s="27" t="s">
        <v>349</v>
      </c>
    </row>
    <row r="77" spans="1:21" x14ac:dyDescent="0.3">
      <c r="A77" s="24" t="s">
        <v>1896</v>
      </c>
      <c r="B77" s="18" t="s">
        <v>329</v>
      </c>
      <c r="C77" s="18" t="s">
        <v>53</v>
      </c>
      <c r="D77" s="18" t="s">
        <v>8</v>
      </c>
      <c r="E77" s="18" t="s">
        <v>117</v>
      </c>
      <c r="F77" s="43">
        <v>46527</v>
      </c>
      <c r="G77" s="54">
        <v>46525</v>
      </c>
      <c r="H77" s="35" t="s">
        <v>257</v>
      </c>
      <c r="I77" s="36">
        <v>46520</v>
      </c>
      <c r="J77" s="36">
        <v>46522</v>
      </c>
      <c r="K77" s="35">
        <v>3</v>
      </c>
      <c r="L77" s="39" t="s">
        <v>139</v>
      </c>
      <c r="M77" s="40">
        <v>46523</v>
      </c>
      <c r="N77" s="40">
        <v>46524</v>
      </c>
      <c r="O77" s="39">
        <v>2</v>
      </c>
      <c r="P77" s="50" t="s">
        <v>1820</v>
      </c>
      <c r="Q77" s="51">
        <v>46525</v>
      </c>
      <c r="R77" s="51">
        <v>46525</v>
      </c>
      <c r="S77" s="50">
        <v>1</v>
      </c>
      <c r="T77" s="18"/>
      <c r="U77" s="27" t="s">
        <v>346</v>
      </c>
    </row>
    <row r="78" spans="1:21" x14ac:dyDescent="0.3">
      <c r="A78" s="24" t="s">
        <v>1897</v>
      </c>
      <c r="B78" s="18" t="s">
        <v>331</v>
      </c>
      <c r="C78" s="18" t="s">
        <v>65</v>
      </c>
      <c r="D78" s="18" t="s">
        <v>9</v>
      </c>
      <c r="E78" s="18" t="s">
        <v>163</v>
      </c>
      <c r="F78" s="43">
        <v>46531</v>
      </c>
      <c r="G78" s="54">
        <v>46528</v>
      </c>
      <c r="H78" s="35" t="s">
        <v>298</v>
      </c>
      <c r="I78" s="36">
        <v>46505</v>
      </c>
      <c r="J78" s="36">
        <v>46514</v>
      </c>
      <c r="K78" s="35">
        <v>10</v>
      </c>
      <c r="L78" s="39" t="s">
        <v>144</v>
      </c>
      <c r="M78" s="40">
        <v>46515</v>
      </c>
      <c r="N78" s="40">
        <v>46519</v>
      </c>
      <c r="O78" s="39">
        <v>5</v>
      </c>
      <c r="P78" s="50" t="s">
        <v>1822</v>
      </c>
      <c r="Q78" s="51">
        <v>46521</v>
      </c>
      <c r="R78" s="51">
        <v>46524</v>
      </c>
      <c r="S78" s="50">
        <v>4</v>
      </c>
      <c r="T78" s="18"/>
      <c r="U78" s="27" t="s">
        <v>359</v>
      </c>
    </row>
    <row r="79" spans="1:21" x14ac:dyDescent="0.3">
      <c r="A79" s="24" t="s">
        <v>1898</v>
      </c>
      <c r="B79" s="18" t="s">
        <v>333</v>
      </c>
      <c r="C79" s="18" t="s">
        <v>76</v>
      </c>
      <c r="D79" s="18" t="s">
        <v>10</v>
      </c>
      <c r="E79" s="18" t="s">
        <v>127</v>
      </c>
      <c r="F79" s="43">
        <v>46538</v>
      </c>
      <c r="G79" s="54">
        <v>46536</v>
      </c>
      <c r="H79" s="35" t="s">
        <v>262</v>
      </c>
      <c r="I79" s="36">
        <v>46525</v>
      </c>
      <c r="J79" s="36">
        <v>46529</v>
      </c>
      <c r="K79" s="35">
        <v>5</v>
      </c>
      <c r="L79" s="39" t="s">
        <v>241</v>
      </c>
      <c r="M79" s="40">
        <v>46530</v>
      </c>
      <c r="N79" s="40">
        <v>46532</v>
      </c>
      <c r="O79" s="39">
        <v>3</v>
      </c>
      <c r="P79" s="50" t="s">
        <v>1824</v>
      </c>
      <c r="Q79" s="51">
        <v>46533</v>
      </c>
      <c r="R79" s="51">
        <v>46534</v>
      </c>
      <c r="S79" s="50">
        <v>2</v>
      </c>
      <c r="T79" s="18"/>
      <c r="U79" s="27" t="s">
        <v>368</v>
      </c>
    </row>
    <row r="80" spans="1:21" x14ac:dyDescent="0.3">
      <c r="A80" s="24" t="s">
        <v>1899</v>
      </c>
      <c r="B80" s="18" t="s">
        <v>335</v>
      </c>
      <c r="C80" s="18" t="s">
        <v>87</v>
      </c>
      <c r="D80" s="18" t="s">
        <v>11</v>
      </c>
      <c r="E80" s="18" t="s">
        <v>127</v>
      </c>
      <c r="F80" s="43">
        <v>46542</v>
      </c>
      <c r="G80" s="54">
        <v>46540</v>
      </c>
      <c r="H80" s="35" t="s">
        <v>303</v>
      </c>
      <c r="I80" s="36">
        <v>46529</v>
      </c>
      <c r="J80" s="36">
        <v>46533</v>
      </c>
      <c r="K80" s="35">
        <v>5</v>
      </c>
      <c r="L80" s="39" t="s">
        <v>245</v>
      </c>
      <c r="M80" s="40">
        <v>46534</v>
      </c>
      <c r="N80" s="40">
        <v>46536</v>
      </c>
      <c r="O80" s="39">
        <v>3</v>
      </c>
      <c r="P80" s="50" t="s">
        <v>1826</v>
      </c>
      <c r="Q80" s="51">
        <v>46537</v>
      </c>
      <c r="R80" s="51">
        <v>46538</v>
      </c>
      <c r="S80" s="50">
        <v>2</v>
      </c>
      <c r="T80" s="18"/>
      <c r="U80" s="27" t="s">
        <v>349</v>
      </c>
    </row>
    <row r="81" spans="1:21" x14ac:dyDescent="0.3">
      <c r="A81" s="25" t="s">
        <v>1900</v>
      </c>
      <c r="B81" s="20" t="s">
        <v>337</v>
      </c>
      <c r="C81" s="20" t="s">
        <v>93</v>
      </c>
      <c r="D81" s="20" t="s">
        <v>12</v>
      </c>
      <c r="E81" s="20" t="s">
        <v>127</v>
      </c>
      <c r="F81" s="44">
        <v>46546</v>
      </c>
      <c r="G81" s="55">
        <v>46544</v>
      </c>
      <c r="H81" s="37" t="s">
        <v>248</v>
      </c>
      <c r="I81" s="38">
        <v>46533</v>
      </c>
      <c r="J81" s="38">
        <v>46537</v>
      </c>
      <c r="K81" s="37">
        <v>5</v>
      </c>
      <c r="L81" s="41" t="s">
        <v>267</v>
      </c>
      <c r="M81" s="42">
        <v>46538</v>
      </c>
      <c r="N81" s="42">
        <v>46540</v>
      </c>
      <c r="O81" s="41">
        <v>3</v>
      </c>
      <c r="P81" s="52" t="s">
        <v>1828</v>
      </c>
      <c r="Q81" s="53">
        <v>46541</v>
      </c>
      <c r="R81" s="53">
        <v>46542</v>
      </c>
      <c r="S81" s="52">
        <v>2</v>
      </c>
      <c r="T81" s="20"/>
      <c r="U81" s="28" t="s">
        <v>344</v>
      </c>
    </row>
    <row r="84" spans="1:21" ht="18" x14ac:dyDescent="0.35">
      <c r="A84" s="45" t="s">
        <v>1795</v>
      </c>
    </row>
    <row r="86" spans="1:21" x14ac:dyDescent="0.3">
      <c r="A86" t="s">
        <v>1796</v>
      </c>
    </row>
    <row r="87" spans="1:21" x14ac:dyDescent="0.3">
      <c r="A87" t="s">
        <v>1901</v>
      </c>
    </row>
    <row r="88" spans="1:21" x14ac:dyDescent="0.3">
      <c r="A88" t="s">
        <v>1902</v>
      </c>
    </row>
    <row r="89" spans="1:21" x14ac:dyDescent="0.3">
      <c r="A89" t="s">
        <v>1903</v>
      </c>
    </row>
    <row r="91" spans="1:21" x14ac:dyDescent="0.3">
      <c r="A91" t="s">
        <v>1797</v>
      </c>
    </row>
    <row r="92" spans="1:21" x14ac:dyDescent="0.3">
      <c r="A92" t="s">
        <v>1904</v>
      </c>
      <c r="E92" s="46" t="s">
        <v>1808</v>
      </c>
      <c r="F92" s="47" t="s">
        <v>1809</v>
      </c>
      <c r="G92" s="47"/>
      <c r="H92" s="48" t="s">
        <v>1810</v>
      </c>
      <c r="I92" s="49" t="s">
        <v>1811</v>
      </c>
    </row>
    <row r="95" spans="1:21" x14ac:dyDescent="0.3">
      <c r="A95" s="1" t="s">
        <v>1798</v>
      </c>
    </row>
    <row r="97" spans="1:5" x14ac:dyDescent="0.3">
      <c r="A97" s="7" t="s">
        <v>1799</v>
      </c>
      <c r="B97" s="7" t="s">
        <v>1800</v>
      </c>
      <c r="C97" s="7" t="s">
        <v>1801</v>
      </c>
    </row>
    <row r="98" spans="1:5" x14ac:dyDescent="0.3">
      <c r="A98" t="s">
        <v>1802</v>
      </c>
      <c r="B98">
        <f>COUNTA(A2:A81)</f>
        <v>80</v>
      </c>
    </row>
    <row r="99" spans="1:5" x14ac:dyDescent="0.3">
      <c r="A99" t="s">
        <v>1803</v>
      </c>
      <c r="B99">
        <f>COUNTIF(T2:T81,"*CONFLICT*")</f>
        <v>26</v>
      </c>
    </row>
    <row r="100" spans="1:5" x14ac:dyDescent="0.3">
      <c r="A100" t="s">
        <v>1804</v>
      </c>
      <c r="B100">
        <f>COUNTIF(E2:E81,"Large")</f>
        <v>15</v>
      </c>
    </row>
    <row r="101" spans="1:5" x14ac:dyDescent="0.3">
      <c r="A101" t="s">
        <v>1805</v>
      </c>
      <c r="B101">
        <f>COUNTIF(E2:E81,"Medium")</f>
        <v>30</v>
      </c>
    </row>
    <row r="102" spans="1:5" x14ac:dyDescent="0.3">
      <c r="A102" t="s">
        <v>1806</v>
      </c>
      <c r="B102">
        <f>COUNTIF(E2:E81,"Small")</f>
        <v>35</v>
      </c>
    </row>
    <row r="103" spans="1:5" x14ac:dyDescent="0.3">
      <c r="A103" t="s">
        <v>1807</v>
      </c>
      <c r="B103">
        <f>SUM(K2:K81)+SUM(O2:O81)+SUM(S2:S81)</f>
        <v>795</v>
      </c>
    </row>
    <row r="104" spans="1:5" x14ac:dyDescent="0.3">
      <c r="A104" t="s">
        <v>1905</v>
      </c>
      <c r="B104">
        <f>COUNTA(G2:G81)</f>
        <v>80</v>
      </c>
    </row>
    <row r="108" spans="1:5" ht="15.6" x14ac:dyDescent="0.3">
      <c r="A108" s="184" t="s">
        <v>2263</v>
      </c>
      <c r="B108" s="185"/>
      <c r="C108" s="185"/>
      <c r="D108" s="185"/>
      <c r="E108" s="185"/>
    </row>
    <row r="109" spans="1:5" x14ac:dyDescent="0.3">
      <c r="A109" s="2" t="s">
        <v>2264</v>
      </c>
      <c r="B109" s="2" t="s">
        <v>108</v>
      </c>
      <c r="C109" s="2" t="s">
        <v>109</v>
      </c>
      <c r="D109" s="2" t="s">
        <v>2265</v>
      </c>
      <c r="E109" s="2" t="s">
        <v>106</v>
      </c>
    </row>
    <row r="110" spans="1:5" x14ac:dyDescent="0.3">
      <c r="A110" t="s">
        <v>2266</v>
      </c>
      <c r="B110" s="3">
        <v>46369</v>
      </c>
      <c r="C110" s="3">
        <v>46387</v>
      </c>
      <c r="D110">
        <v>19</v>
      </c>
      <c r="E110" t="s">
        <v>2267</v>
      </c>
    </row>
    <row r="111" spans="1:5" x14ac:dyDescent="0.3">
      <c r="A111" t="s">
        <v>2268</v>
      </c>
      <c r="B111" s="3">
        <v>46472</v>
      </c>
      <c r="C111" s="3">
        <v>46474</v>
      </c>
      <c r="D111">
        <v>3</v>
      </c>
      <c r="E111" t="s">
        <v>2269</v>
      </c>
    </row>
    <row r="112" spans="1:5" x14ac:dyDescent="0.3">
      <c r="A112" t="s">
        <v>2270</v>
      </c>
      <c r="B112" s="3">
        <v>46563</v>
      </c>
      <c r="C112" s="3">
        <v>46565</v>
      </c>
      <c r="D112">
        <v>3</v>
      </c>
      <c r="E112" t="s">
        <v>2269</v>
      </c>
    </row>
  </sheetData>
  <mergeCells count="1">
    <mergeCell ref="A108:E108"/>
  </mergeCells>
  <conditionalFormatting sqref="A2:U81">
    <cfRule type="containsText" dxfId="47" priority="1" operator="containsText" text="CONFLICT">
      <formula>NOT(ISERROR(SEARCH("CONFLICT",A2)))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F75C02-36D2-40A5-B8F1-2D8E56ED4D7C}">
  <dimension ref="A1:AX147"/>
  <sheetViews>
    <sheetView topLeftCell="A66" workbookViewId="0">
      <selection activeCell="K47" sqref="K47"/>
    </sheetView>
  </sheetViews>
  <sheetFormatPr defaultRowHeight="14.4" x14ac:dyDescent="0.3"/>
  <cols>
    <col min="1" max="1" width="14.77734375" customWidth="1"/>
    <col min="2" max="2" width="37" customWidth="1"/>
    <col min="3" max="3" width="16.6640625" customWidth="1"/>
    <col min="4" max="4" width="24.5546875" customWidth="1"/>
    <col min="5" max="8" width="11.109375" customWidth="1"/>
    <col min="9" max="9" width="27.77734375" customWidth="1"/>
    <col min="10" max="10" width="14.77734375" customWidth="1"/>
    <col min="11" max="11" width="33.33203125" customWidth="1"/>
    <col min="12" max="15" width="11.109375" customWidth="1"/>
    <col min="16" max="19" width="12" customWidth="1"/>
    <col min="20" max="22" width="11.109375" customWidth="1"/>
    <col min="23" max="31" width="12" customWidth="1"/>
    <col min="32" max="32" width="18.5546875" customWidth="1"/>
    <col min="33" max="33" width="16.6640625" customWidth="1"/>
  </cols>
  <sheetData>
    <row r="1" spans="1:11" ht="18" x14ac:dyDescent="0.35">
      <c r="A1" s="138" t="s">
        <v>2706</v>
      </c>
      <c r="B1" s="138"/>
      <c r="C1" s="138"/>
      <c r="D1" s="138"/>
      <c r="E1" s="138"/>
      <c r="F1" s="138"/>
      <c r="G1" s="138"/>
      <c r="H1" s="138"/>
      <c r="I1" s="139"/>
      <c r="J1" s="140"/>
      <c r="K1" s="140"/>
    </row>
    <row r="2" spans="1:11" x14ac:dyDescent="0.3">
      <c r="A2" s="141" t="s">
        <v>2707</v>
      </c>
      <c r="B2" s="141"/>
      <c r="C2" s="141"/>
      <c r="D2" s="141"/>
      <c r="E2" s="141"/>
      <c r="F2" s="141"/>
      <c r="G2" s="141"/>
      <c r="H2" s="141"/>
      <c r="I2" s="142"/>
      <c r="J2" s="142"/>
      <c r="K2" s="142"/>
    </row>
    <row r="3" spans="1:11" x14ac:dyDescent="0.3">
      <c r="I3" s="5" t="s">
        <v>2763</v>
      </c>
      <c r="J3" s="5">
        <f>COUNTA($A$68:$A$79)</f>
        <v>12</v>
      </c>
      <c r="K3" s="5"/>
    </row>
    <row r="4" spans="1:11" x14ac:dyDescent="0.3">
      <c r="A4" s="17" t="s">
        <v>2708</v>
      </c>
      <c r="B4" s="17" t="s">
        <v>2810</v>
      </c>
      <c r="C4" s="17" t="s">
        <v>2794</v>
      </c>
      <c r="D4" s="17" t="s">
        <v>1919</v>
      </c>
      <c r="E4" s="17" t="s">
        <v>2811</v>
      </c>
      <c r="F4" s="17" t="s">
        <v>2812</v>
      </c>
      <c r="G4" s="17" t="s">
        <v>2710</v>
      </c>
      <c r="I4" s="88" t="s">
        <v>2764</v>
      </c>
      <c r="J4" s="95">
        <f>COUNTIF($AX$68:$AX$79,"SEVERE")</f>
        <v>2</v>
      </c>
      <c r="K4" s="88" t="s">
        <v>2765</v>
      </c>
    </row>
    <row r="5" spans="1:11" x14ac:dyDescent="0.3">
      <c r="A5" s="143" t="s">
        <v>2711</v>
      </c>
      <c r="B5" s="100" t="s">
        <v>2712</v>
      </c>
      <c r="C5" s="101">
        <v>0.04</v>
      </c>
      <c r="D5" s="100" t="s">
        <v>2813</v>
      </c>
      <c r="E5" s="100" t="s">
        <v>2814</v>
      </c>
      <c r="F5" s="100" t="s">
        <v>2815</v>
      </c>
      <c r="G5" s="100" t="s">
        <v>2713</v>
      </c>
      <c r="I5" s="87" t="s">
        <v>2766</v>
      </c>
      <c r="J5" s="137">
        <f>COUNTIF($AX$68:$AX$79,"CRITICAL")</f>
        <v>1</v>
      </c>
      <c r="K5" s="87" t="s">
        <v>3055</v>
      </c>
    </row>
    <row r="6" spans="1:11" x14ac:dyDescent="0.3">
      <c r="A6" s="144"/>
      <c r="B6" s="100" t="s">
        <v>2714</v>
      </c>
      <c r="C6" s="101">
        <v>0.03</v>
      </c>
      <c r="D6" s="100" t="s">
        <v>2816</v>
      </c>
      <c r="E6" s="100" t="s">
        <v>2817</v>
      </c>
      <c r="F6" s="100" t="s">
        <v>2818</v>
      </c>
      <c r="G6" s="100" t="s">
        <v>2713</v>
      </c>
      <c r="I6" s="86" t="s">
        <v>2767</v>
      </c>
      <c r="J6" s="86">
        <f>COUNTIF($AX$68:$AX$79,"HIGH")</f>
        <v>0</v>
      </c>
      <c r="K6" s="86" t="s">
        <v>3054</v>
      </c>
    </row>
    <row r="7" spans="1:11" x14ac:dyDescent="0.3">
      <c r="A7" s="144"/>
      <c r="B7" s="100" t="s">
        <v>2715</v>
      </c>
      <c r="C7" s="101">
        <v>0.05</v>
      </c>
      <c r="D7" s="100" t="s">
        <v>2819</v>
      </c>
      <c r="E7" s="100">
        <v>0</v>
      </c>
      <c r="F7" s="100" t="s">
        <v>2820</v>
      </c>
      <c r="G7" s="100" t="s">
        <v>2716</v>
      </c>
      <c r="I7" s="85" t="s">
        <v>2768</v>
      </c>
      <c r="J7" s="85">
        <f>COUNTIF($AX$68:$AX$79,"MEDIUM")</f>
        <v>5</v>
      </c>
      <c r="K7" s="85" t="s">
        <v>3053</v>
      </c>
    </row>
    <row r="8" spans="1:11" x14ac:dyDescent="0.3">
      <c r="A8" s="144"/>
      <c r="B8" s="100" t="s">
        <v>2717</v>
      </c>
      <c r="C8" s="101">
        <v>0.04</v>
      </c>
      <c r="D8" s="100" t="s">
        <v>2718</v>
      </c>
      <c r="E8" s="100">
        <v>0</v>
      </c>
      <c r="F8" s="100" t="s">
        <v>2821</v>
      </c>
      <c r="G8" s="100" t="s">
        <v>2719</v>
      </c>
      <c r="I8" s="84" t="s">
        <v>2769</v>
      </c>
      <c r="J8" s="84">
        <f>COUNTIF($AX$68:$AX$79,"LOW")</f>
        <v>4</v>
      </c>
      <c r="K8" s="84" t="s">
        <v>3052</v>
      </c>
    </row>
    <row r="9" spans="1:11" x14ac:dyDescent="0.3">
      <c r="A9" s="145"/>
      <c r="B9" s="100" t="s">
        <v>2822</v>
      </c>
      <c r="C9" s="101">
        <v>0.02</v>
      </c>
      <c r="D9" s="100" t="s">
        <v>2823</v>
      </c>
      <c r="E9" s="100" t="s">
        <v>2824</v>
      </c>
      <c r="F9" s="100" t="s">
        <v>2825</v>
      </c>
      <c r="G9" s="100" t="s">
        <v>2826</v>
      </c>
      <c r="I9" s="5"/>
      <c r="J9" s="5"/>
      <c r="K9" s="5"/>
    </row>
    <row r="10" spans="1:11" x14ac:dyDescent="0.3">
      <c r="A10" s="146" t="s">
        <v>2720</v>
      </c>
      <c r="B10" s="84" t="s">
        <v>2721</v>
      </c>
      <c r="C10" s="102">
        <v>0.06</v>
      </c>
      <c r="D10" s="84" t="s">
        <v>2827</v>
      </c>
      <c r="E10" s="84" t="s">
        <v>2828</v>
      </c>
      <c r="F10" s="84" t="s">
        <v>2829</v>
      </c>
      <c r="G10" s="84" t="s">
        <v>2830</v>
      </c>
      <c r="I10" s="128" t="s">
        <v>2770</v>
      </c>
      <c r="J10" s="99">
        <f>ROUND(AVERAGE($AW$68:$AW$79),2)</f>
        <v>2.2799999999999998</v>
      </c>
      <c r="K10" s="5"/>
    </row>
    <row r="11" spans="1:11" x14ac:dyDescent="0.3">
      <c r="A11" s="147"/>
      <c r="B11" s="84" t="s">
        <v>2722</v>
      </c>
      <c r="C11" s="102">
        <v>0.03</v>
      </c>
      <c r="D11" s="84" t="s">
        <v>2831</v>
      </c>
      <c r="E11" s="84" t="s">
        <v>2832</v>
      </c>
      <c r="F11" s="84" t="s">
        <v>2833</v>
      </c>
      <c r="G11" s="84" t="s">
        <v>2834</v>
      </c>
      <c r="I11" s="5" t="s">
        <v>2771</v>
      </c>
      <c r="J11" s="5" t="str">
        <f>INDEX($A$68:$A$79,MATCH(MAX($AW$68:$AW$79),$AW$68:$AW$79,0))</f>
        <v>REL-0010</v>
      </c>
      <c r="K11" s="99">
        <f>MAX($AW$68:$AW$79)</f>
        <v>4.5199999999999996</v>
      </c>
    </row>
    <row r="12" spans="1:11" x14ac:dyDescent="0.3">
      <c r="A12" s="147"/>
      <c r="B12" s="84" t="s">
        <v>2723</v>
      </c>
      <c r="C12" s="102">
        <v>0.04</v>
      </c>
      <c r="D12" s="84" t="s">
        <v>2835</v>
      </c>
      <c r="E12" s="84" t="s">
        <v>2836</v>
      </c>
      <c r="F12" s="84" t="s">
        <v>2837</v>
      </c>
      <c r="G12" s="84" t="s">
        <v>2838</v>
      </c>
    </row>
    <row r="13" spans="1:11" x14ac:dyDescent="0.3">
      <c r="A13" s="147"/>
      <c r="B13" s="84" t="s">
        <v>2724</v>
      </c>
      <c r="C13" s="102">
        <v>0.02</v>
      </c>
      <c r="D13" s="84" t="s">
        <v>2839</v>
      </c>
      <c r="E13" s="84" t="s">
        <v>2840</v>
      </c>
      <c r="F13" s="84" t="s">
        <v>2829</v>
      </c>
      <c r="G13" s="84" t="s">
        <v>2838</v>
      </c>
    </row>
    <row r="14" spans="1:11" x14ac:dyDescent="0.3">
      <c r="A14" s="147"/>
      <c r="B14" s="84" t="s">
        <v>2725</v>
      </c>
      <c r="C14" s="102">
        <v>0.03</v>
      </c>
      <c r="D14" s="84" t="s">
        <v>2841</v>
      </c>
      <c r="E14" s="84" t="s">
        <v>2832</v>
      </c>
      <c r="F14" s="84" t="s">
        <v>2833</v>
      </c>
      <c r="G14" s="84" t="s">
        <v>2842</v>
      </c>
    </row>
    <row r="15" spans="1:11" x14ac:dyDescent="0.3">
      <c r="A15" s="147"/>
      <c r="B15" s="84" t="s">
        <v>2727</v>
      </c>
      <c r="C15" s="102">
        <v>0.04</v>
      </c>
      <c r="D15" s="84" t="s">
        <v>2728</v>
      </c>
      <c r="E15" s="84" t="s">
        <v>2843</v>
      </c>
      <c r="F15" s="84" t="s">
        <v>2844</v>
      </c>
      <c r="G15" s="84" t="s">
        <v>2838</v>
      </c>
    </row>
    <row r="16" spans="1:11" x14ac:dyDescent="0.3">
      <c r="A16" s="147"/>
      <c r="B16" s="84" t="s">
        <v>2729</v>
      </c>
      <c r="C16" s="102">
        <v>0.02</v>
      </c>
      <c r="D16" s="84" t="s">
        <v>2845</v>
      </c>
      <c r="E16" s="84" t="s">
        <v>2846</v>
      </c>
      <c r="F16" s="84" t="s">
        <v>2847</v>
      </c>
      <c r="G16" s="84" t="s">
        <v>2848</v>
      </c>
    </row>
    <row r="17" spans="1:11" x14ac:dyDescent="0.3">
      <c r="A17" s="148"/>
      <c r="B17" s="84" t="s">
        <v>2849</v>
      </c>
      <c r="C17" s="102">
        <v>0.02</v>
      </c>
      <c r="D17" s="84" t="s">
        <v>2850</v>
      </c>
      <c r="E17" s="84" t="s">
        <v>2851</v>
      </c>
      <c r="F17" s="84" t="s">
        <v>2852</v>
      </c>
      <c r="G17" s="84" t="s">
        <v>2853</v>
      </c>
    </row>
    <row r="18" spans="1:11" x14ac:dyDescent="0.3">
      <c r="A18" s="149" t="s">
        <v>2854</v>
      </c>
      <c r="B18" s="87" t="s">
        <v>2855</v>
      </c>
      <c r="C18" s="103">
        <v>0.03</v>
      </c>
      <c r="D18" s="87" t="s">
        <v>2856</v>
      </c>
      <c r="E18" s="87">
        <v>0</v>
      </c>
      <c r="F18" s="87" t="s">
        <v>2820</v>
      </c>
      <c r="G18" s="87" t="s">
        <v>2857</v>
      </c>
    </row>
    <row r="19" spans="1:11" x14ac:dyDescent="0.3">
      <c r="A19" s="150"/>
      <c r="B19" s="87" t="s">
        <v>2858</v>
      </c>
      <c r="C19" s="103">
        <v>0.02</v>
      </c>
      <c r="D19" s="87" t="s">
        <v>2859</v>
      </c>
      <c r="E19" s="87" t="s">
        <v>2860</v>
      </c>
      <c r="F19" s="87" t="s">
        <v>2861</v>
      </c>
      <c r="G19" s="87" t="s">
        <v>2862</v>
      </c>
    </row>
    <row r="20" spans="1:11" x14ac:dyDescent="0.3">
      <c r="A20" s="151"/>
      <c r="B20" s="87" t="s">
        <v>2863</v>
      </c>
      <c r="C20" s="103">
        <v>0.03</v>
      </c>
      <c r="D20" s="87" t="s">
        <v>2864</v>
      </c>
      <c r="E20" s="87" t="s">
        <v>2865</v>
      </c>
      <c r="F20" s="87" t="s">
        <v>2583</v>
      </c>
      <c r="G20" s="87" t="s">
        <v>2866</v>
      </c>
    </row>
    <row r="21" spans="1:11" x14ac:dyDescent="0.3">
      <c r="A21" s="152" t="s">
        <v>2867</v>
      </c>
      <c r="B21" s="104" t="s">
        <v>2868</v>
      </c>
      <c r="C21" s="105">
        <v>0.01</v>
      </c>
      <c r="D21" s="104" t="s">
        <v>2869</v>
      </c>
      <c r="E21" s="104" t="s">
        <v>2808</v>
      </c>
      <c r="F21" s="104" t="s">
        <v>2870</v>
      </c>
      <c r="G21" s="104" t="s">
        <v>2871</v>
      </c>
      <c r="I21" s="134" t="s">
        <v>3049</v>
      </c>
      <c r="J21" s="104"/>
      <c r="K21" s="104"/>
    </row>
    <row r="22" spans="1:11" x14ac:dyDescent="0.3">
      <c r="A22" s="153"/>
      <c r="B22" s="104" t="s">
        <v>2872</v>
      </c>
      <c r="C22" s="105">
        <v>1.4999999999999999E-2</v>
      </c>
      <c r="D22" s="104" t="s">
        <v>2873</v>
      </c>
      <c r="E22" s="104" t="s">
        <v>2874</v>
      </c>
      <c r="F22" s="104" t="s">
        <v>2774</v>
      </c>
      <c r="G22" s="104" t="s">
        <v>2875</v>
      </c>
      <c r="I22" s="83" t="s">
        <v>3050</v>
      </c>
      <c r="J22" s="83" t="s">
        <v>2745</v>
      </c>
      <c r="K22" s="83" t="s">
        <v>2747</v>
      </c>
    </row>
    <row r="23" spans="1:11" x14ac:dyDescent="0.3">
      <c r="A23" s="154"/>
      <c r="B23" s="104" t="s">
        <v>2876</v>
      </c>
      <c r="C23" s="105">
        <v>1.4999999999999999E-2</v>
      </c>
      <c r="D23" s="104" t="s">
        <v>2877</v>
      </c>
      <c r="E23" s="104" t="s">
        <v>2776</v>
      </c>
      <c r="F23" s="104" t="s">
        <v>2774</v>
      </c>
      <c r="G23" s="104" t="s">
        <v>2875</v>
      </c>
      <c r="I23" s="84" t="s">
        <v>2748</v>
      </c>
      <c r="J23" s="84" t="s">
        <v>3051</v>
      </c>
      <c r="K23" s="84" t="s">
        <v>3052</v>
      </c>
    </row>
    <row r="24" spans="1:11" x14ac:dyDescent="0.3">
      <c r="A24" s="155" t="s">
        <v>2730</v>
      </c>
      <c r="B24" s="106" t="s">
        <v>2731</v>
      </c>
      <c r="C24" s="107">
        <v>0.02</v>
      </c>
      <c r="D24" s="106" t="s">
        <v>2878</v>
      </c>
      <c r="E24" s="106" t="s">
        <v>2879</v>
      </c>
      <c r="F24" s="106" t="s">
        <v>2880</v>
      </c>
      <c r="G24" s="106" t="s">
        <v>2881</v>
      </c>
      <c r="I24" s="85" t="s">
        <v>2750</v>
      </c>
      <c r="J24" s="85" t="s">
        <v>2749</v>
      </c>
      <c r="K24" s="85" t="s">
        <v>3053</v>
      </c>
    </row>
    <row r="25" spans="1:11" x14ac:dyDescent="0.3">
      <c r="A25" s="156"/>
      <c r="B25" s="106" t="s">
        <v>2805</v>
      </c>
      <c r="C25" s="107">
        <v>0.03</v>
      </c>
      <c r="D25" s="106" t="s">
        <v>2882</v>
      </c>
      <c r="E25" s="106" t="s">
        <v>2732</v>
      </c>
      <c r="F25" s="106" t="s">
        <v>2883</v>
      </c>
      <c r="G25" s="106" t="s">
        <v>2272</v>
      </c>
      <c r="I25" s="86" t="s">
        <v>495</v>
      </c>
      <c r="J25" s="86" t="s">
        <v>2751</v>
      </c>
      <c r="K25" s="86" t="s">
        <v>3054</v>
      </c>
    </row>
    <row r="26" spans="1:11" x14ac:dyDescent="0.3">
      <c r="A26" s="156"/>
      <c r="B26" s="106" t="s">
        <v>2733</v>
      </c>
      <c r="C26" s="107">
        <v>0.04</v>
      </c>
      <c r="D26" s="106" t="s">
        <v>2884</v>
      </c>
      <c r="E26" s="106" t="s">
        <v>2885</v>
      </c>
      <c r="F26" s="106" t="s">
        <v>2886</v>
      </c>
      <c r="G26" s="106" t="s">
        <v>2726</v>
      </c>
      <c r="I26" s="87" t="s">
        <v>518</v>
      </c>
      <c r="J26" s="87" t="s">
        <v>2752</v>
      </c>
      <c r="K26" s="87" t="s">
        <v>3055</v>
      </c>
    </row>
    <row r="27" spans="1:11" x14ac:dyDescent="0.3">
      <c r="A27" s="156"/>
      <c r="B27" s="106" t="s">
        <v>2734</v>
      </c>
      <c r="C27" s="107">
        <v>0.03</v>
      </c>
      <c r="D27" s="106" t="s">
        <v>2887</v>
      </c>
      <c r="E27" s="106">
        <v>0</v>
      </c>
      <c r="F27" s="106" t="s">
        <v>2821</v>
      </c>
      <c r="G27" s="106" t="s">
        <v>2702</v>
      </c>
      <c r="I27" s="88" t="s">
        <v>2753</v>
      </c>
      <c r="J27" s="88" t="s">
        <v>3056</v>
      </c>
      <c r="K27" s="88" t="s">
        <v>3057</v>
      </c>
    </row>
    <row r="28" spans="1:11" x14ac:dyDescent="0.3">
      <c r="A28" s="157"/>
      <c r="B28" s="106" t="s">
        <v>2888</v>
      </c>
      <c r="C28" s="107">
        <v>0.02</v>
      </c>
      <c r="D28" s="106" t="s">
        <v>2889</v>
      </c>
      <c r="E28" s="106">
        <v>0</v>
      </c>
      <c r="F28" s="106" t="s">
        <v>2821</v>
      </c>
      <c r="G28" s="106" t="s">
        <v>2890</v>
      </c>
    </row>
    <row r="29" spans="1:11" x14ac:dyDescent="0.3">
      <c r="A29" s="158" t="s">
        <v>2735</v>
      </c>
      <c r="B29" s="77" t="s">
        <v>2736</v>
      </c>
      <c r="C29" s="108">
        <v>0.03</v>
      </c>
      <c r="D29" s="77" t="s">
        <v>2891</v>
      </c>
      <c r="E29" s="77">
        <v>0</v>
      </c>
      <c r="F29" s="77" t="s">
        <v>2821</v>
      </c>
      <c r="G29" s="77" t="s">
        <v>2892</v>
      </c>
    </row>
    <row r="30" spans="1:11" x14ac:dyDescent="0.3">
      <c r="A30" s="159"/>
      <c r="B30" s="77" t="s">
        <v>2737</v>
      </c>
      <c r="C30" s="108">
        <v>0.02</v>
      </c>
      <c r="D30" s="77" t="s">
        <v>2893</v>
      </c>
      <c r="E30" s="77">
        <v>0</v>
      </c>
      <c r="F30" s="77" t="s">
        <v>2821</v>
      </c>
      <c r="G30" s="77" t="s">
        <v>2702</v>
      </c>
    </row>
    <row r="31" spans="1:11" x14ac:dyDescent="0.3">
      <c r="A31" s="159"/>
      <c r="B31" s="77" t="s">
        <v>2738</v>
      </c>
      <c r="C31" s="108">
        <v>0.02</v>
      </c>
      <c r="D31" s="77" t="s">
        <v>2894</v>
      </c>
      <c r="E31" s="77" t="s">
        <v>2895</v>
      </c>
      <c r="F31" s="77" t="s">
        <v>2896</v>
      </c>
      <c r="G31" s="77" t="s">
        <v>2897</v>
      </c>
    </row>
    <row r="32" spans="1:11" x14ac:dyDescent="0.3">
      <c r="A32" s="160"/>
      <c r="B32" s="77" t="s">
        <v>2898</v>
      </c>
      <c r="C32" s="108">
        <v>0.02</v>
      </c>
      <c r="D32" s="77" t="s">
        <v>2899</v>
      </c>
      <c r="E32" s="77" t="s">
        <v>2900</v>
      </c>
      <c r="F32" s="77" t="s">
        <v>2901</v>
      </c>
      <c r="G32" s="77" t="s">
        <v>2902</v>
      </c>
    </row>
    <row r="33" spans="1:7" x14ac:dyDescent="0.3">
      <c r="A33" s="200" t="s">
        <v>2739</v>
      </c>
      <c r="B33" s="76" t="s">
        <v>2552</v>
      </c>
      <c r="C33" s="109">
        <v>0.02</v>
      </c>
      <c r="D33" s="76" t="s">
        <v>2903</v>
      </c>
      <c r="E33" s="76" t="s">
        <v>2904</v>
      </c>
      <c r="F33" s="76" t="s">
        <v>2905</v>
      </c>
      <c r="G33" s="76" t="s">
        <v>2906</v>
      </c>
    </row>
    <row r="34" spans="1:7" x14ac:dyDescent="0.3">
      <c r="A34" s="201"/>
      <c r="B34" s="76" t="s">
        <v>2553</v>
      </c>
      <c r="C34" s="109">
        <v>0.02</v>
      </c>
      <c r="D34" s="76" t="s">
        <v>2907</v>
      </c>
      <c r="E34" s="76" t="s">
        <v>2828</v>
      </c>
      <c r="F34" s="76" t="s">
        <v>2908</v>
      </c>
      <c r="G34" s="76" t="s">
        <v>2909</v>
      </c>
    </row>
    <row r="35" spans="1:7" x14ac:dyDescent="0.3">
      <c r="A35" s="201"/>
      <c r="B35" s="76" t="s">
        <v>2806</v>
      </c>
      <c r="C35" s="109">
        <v>1.4999999999999999E-2</v>
      </c>
      <c r="D35" s="76" t="s">
        <v>2910</v>
      </c>
      <c r="E35" s="76" t="s">
        <v>2911</v>
      </c>
      <c r="F35" s="76" t="s">
        <v>2740</v>
      </c>
      <c r="G35" s="76" t="s">
        <v>2273</v>
      </c>
    </row>
    <row r="36" spans="1:7" x14ac:dyDescent="0.3">
      <c r="A36" s="201"/>
      <c r="B36" s="76" t="s">
        <v>2741</v>
      </c>
      <c r="C36" s="109">
        <v>5.0000000000000001E-3</v>
      </c>
      <c r="D36" s="76" t="s">
        <v>2912</v>
      </c>
      <c r="E36" s="76" t="s">
        <v>2742</v>
      </c>
      <c r="F36" s="76" t="s">
        <v>2913</v>
      </c>
      <c r="G36" s="76" t="s">
        <v>2914</v>
      </c>
    </row>
    <row r="37" spans="1:7" x14ac:dyDescent="0.3">
      <c r="A37" s="201"/>
      <c r="B37" s="76" t="s">
        <v>2915</v>
      </c>
      <c r="C37" s="109">
        <v>0.02</v>
      </c>
      <c r="D37" s="76" t="s">
        <v>2916</v>
      </c>
      <c r="E37" s="76" t="s">
        <v>2917</v>
      </c>
      <c r="F37" s="76" t="s">
        <v>2918</v>
      </c>
      <c r="G37" s="76" t="s">
        <v>2906</v>
      </c>
    </row>
    <row r="38" spans="1:7" x14ac:dyDescent="0.3">
      <c r="A38" s="202"/>
      <c r="B38" s="76" t="s">
        <v>2919</v>
      </c>
      <c r="C38" s="109">
        <v>1.4999999999999999E-2</v>
      </c>
      <c r="D38" s="76" t="s">
        <v>2920</v>
      </c>
      <c r="E38" s="76" t="s">
        <v>2828</v>
      </c>
      <c r="F38" s="76" t="s">
        <v>2908</v>
      </c>
      <c r="G38" s="76" t="s">
        <v>2921</v>
      </c>
    </row>
    <row r="39" spans="1:7" x14ac:dyDescent="0.3">
      <c r="A39" s="191" t="s">
        <v>2922</v>
      </c>
      <c r="B39" s="110" t="s">
        <v>2923</v>
      </c>
      <c r="C39" s="111">
        <v>0.02</v>
      </c>
      <c r="D39" s="110" t="s">
        <v>2924</v>
      </c>
      <c r="E39" s="110" t="s">
        <v>2860</v>
      </c>
      <c r="F39" s="110" t="s">
        <v>2861</v>
      </c>
      <c r="G39" s="110" t="s">
        <v>2925</v>
      </c>
    </row>
    <row r="40" spans="1:7" x14ac:dyDescent="0.3">
      <c r="A40" s="192"/>
      <c r="B40" s="110" t="s">
        <v>2926</v>
      </c>
      <c r="C40" s="111">
        <v>0.02</v>
      </c>
      <c r="D40" s="110" t="s">
        <v>2927</v>
      </c>
      <c r="E40" s="110" t="s">
        <v>2928</v>
      </c>
      <c r="F40" s="110" t="s">
        <v>2929</v>
      </c>
      <c r="G40" s="110" t="s">
        <v>2930</v>
      </c>
    </row>
    <row r="41" spans="1:7" x14ac:dyDescent="0.3">
      <c r="A41" s="193" t="s">
        <v>2779</v>
      </c>
      <c r="B41" s="92" t="s">
        <v>2782</v>
      </c>
      <c r="C41" s="112">
        <v>1.4999999999999999E-2</v>
      </c>
      <c r="D41" s="92" t="s">
        <v>2931</v>
      </c>
      <c r="E41" s="92" t="s">
        <v>2773</v>
      </c>
      <c r="F41" s="92" t="s">
        <v>2774</v>
      </c>
      <c r="G41" s="92" t="s">
        <v>2775</v>
      </c>
    </row>
    <row r="42" spans="1:7" ht="34.950000000000003" customHeight="1" x14ac:dyDescent="0.3">
      <c r="A42" s="194"/>
      <c r="B42" s="92" t="s">
        <v>2785</v>
      </c>
      <c r="C42" s="112">
        <v>1.4999999999999999E-2</v>
      </c>
      <c r="D42" s="92" t="s">
        <v>2932</v>
      </c>
      <c r="E42" s="92" t="s">
        <v>2776</v>
      </c>
      <c r="F42" s="92" t="s">
        <v>2786</v>
      </c>
      <c r="G42" s="92" t="s">
        <v>2787</v>
      </c>
    </row>
    <row r="43" spans="1:7" x14ac:dyDescent="0.3">
      <c r="A43" s="194"/>
      <c r="B43" s="92" t="s">
        <v>2933</v>
      </c>
      <c r="C43" s="112">
        <v>5.0000000000000001E-3</v>
      </c>
      <c r="D43" s="92" t="s">
        <v>2934</v>
      </c>
      <c r="E43" s="92" t="s">
        <v>2777</v>
      </c>
      <c r="F43" s="92" t="s">
        <v>2935</v>
      </c>
      <c r="G43" s="92" t="s">
        <v>2778</v>
      </c>
    </row>
    <row r="44" spans="1:7" x14ac:dyDescent="0.3">
      <c r="A44" s="194"/>
      <c r="B44" s="92" t="s">
        <v>2936</v>
      </c>
      <c r="C44" s="112">
        <v>5.0000000000000001E-3</v>
      </c>
      <c r="D44" s="92" t="s">
        <v>2937</v>
      </c>
      <c r="E44" s="92" t="s">
        <v>2938</v>
      </c>
      <c r="F44" s="92" t="s">
        <v>2939</v>
      </c>
      <c r="G44" s="92" t="s">
        <v>2940</v>
      </c>
    </row>
    <row r="45" spans="1:7" x14ac:dyDescent="0.3">
      <c r="A45" s="194"/>
      <c r="B45" s="92" t="s">
        <v>2784</v>
      </c>
      <c r="C45" s="112">
        <v>5.0000000000000001E-3</v>
      </c>
      <c r="D45" s="92" t="s">
        <v>2941</v>
      </c>
      <c r="E45" s="92" t="s">
        <v>2942</v>
      </c>
      <c r="F45" s="92" t="s">
        <v>2943</v>
      </c>
      <c r="G45" s="92" t="s">
        <v>2781</v>
      </c>
    </row>
    <row r="46" spans="1:7" x14ac:dyDescent="0.3">
      <c r="A46" s="195"/>
      <c r="B46" s="92" t="s">
        <v>2944</v>
      </c>
      <c r="C46" s="112">
        <v>5.0000000000000001E-3</v>
      </c>
      <c r="D46" s="92" t="s">
        <v>2945</v>
      </c>
      <c r="E46" s="92">
        <v>0</v>
      </c>
      <c r="F46" s="92" t="s">
        <v>2946</v>
      </c>
      <c r="G46" s="92" t="s">
        <v>2947</v>
      </c>
    </row>
    <row r="47" spans="1:7" x14ac:dyDescent="0.3">
      <c r="A47" s="196" t="s">
        <v>2948</v>
      </c>
      <c r="B47" s="78" t="s">
        <v>2949</v>
      </c>
      <c r="C47" s="113">
        <v>0.01</v>
      </c>
      <c r="D47" s="78" t="s">
        <v>2950</v>
      </c>
      <c r="E47" s="78" t="s">
        <v>118</v>
      </c>
      <c r="F47" s="78" t="s">
        <v>128</v>
      </c>
      <c r="G47" s="78" t="s">
        <v>2951</v>
      </c>
    </row>
    <row r="48" spans="1:7" x14ac:dyDescent="0.3">
      <c r="A48" s="197"/>
      <c r="B48" s="78" t="s">
        <v>2952</v>
      </c>
      <c r="C48" s="113">
        <v>0.01</v>
      </c>
      <c r="D48" s="78" t="s">
        <v>2953</v>
      </c>
      <c r="E48" s="78" t="s">
        <v>2954</v>
      </c>
      <c r="F48" s="78" t="s">
        <v>2955</v>
      </c>
      <c r="G48" s="78" t="s">
        <v>2956</v>
      </c>
    </row>
    <row r="50" spans="1:3" x14ac:dyDescent="0.3">
      <c r="A50" s="198" t="s">
        <v>2743</v>
      </c>
      <c r="B50" s="199"/>
      <c r="C50" s="199"/>
    </row>
    <row r="51" spans="1:3" x14ac:dyDescent="0.3">
      <c r="A51" s="83" t="s">
        <v>2708</v>
      </c>
      <c r="B51" s="83" t="s">
        <v>2794</v>
      </c>
      <c r="C51" s="83" t="s">
        <v>2957</v>
      </c>
    </row>
    <row r="52" spans="1:3" x14ac:dyDescent="0.3">
      <c r="A52" s="100" t="s">
        <v>2711</v>
      </c>
      <c r="B52" s="114">
        <v>0.18</v>
      </c>
      <c r="C52" s="100" t="s">
        <v>2958</v>
      </c>
    </row>
    <row r="53" spans="1:3" x14ac:dyDescent="0.3">
      <c r="A53" s="84" t="s">
        <v>2720</v>
      </c>
      <c r="B53" s="115">
        <v>0.26</v>
      </c>
      <c r="C53" s="84" t="s">
        <v>2959</v>
      </c>
    </row>
    <row r="54" spans="1:3" x14ac:dyDescent="0.3">
      <c r="A54" s="87" t="s">
        <v>2854</v>
      </c>
      <c r="B54" s="116">
        <v>0.08</v>
      </c>
      <c r="C54" s="87" t="s">
        <v>2960</v>
      </c>
    </row>
    <row r="55" spans="1:3" x14ac:dyDescent="0.3">
      <c r="A55" s="104" t="s">
        <v>2867</v>
      </c>
      <c r="B55" s="117">
        <v>0.04</v>
      </c>
      <c r="C55" s="104" t="s">
        <v>2960</v>
      </c>
    </row>
    <row r="56" spans="1:3" ht="18" x14ac:dyDescent="0.35">
      <c r="A56" s="123" t="s">
        <v>2730</v>
      </c>
      <c r="B56" s="118">
        <v>0.14000000000000001</v>
      </c>
      <c r="C56" s="106" t="s">
        <v>2958</v>
      </c>
    </row>
    <row r="57" spans="1:3" x14ac:dyDescent="0.3">
      <c r="A57" s="77" t="s">
        <v>2735</v>
      </c>
      <c r="B57" s="119">
        <v>0.09</v>
      </c>
      <c r="C57" s="77" t="s">
        <v>2961</v>
      </c>
    </row>
    <row r="58" spans="1:3" x14ac:dyDescent="0.3">
      <c r="A58" s="124" t="s">
        <v>2739</v>
      </c>
      <c r="B58" s="120">
        <v>0.1</v>
      </c>
      <c r="C58" s="76" t="s">
        <v>2962</v>
      </c>
    </row>
    <row r="59" spans="1:3" x14ac:dyDescent="0.3">
      <c r="A59" s="125" t="s">
        <v>2922</v>
      </c>
      <c r="B59" s="121">
        <v>0.04</v>
      </c>
      <c r="C59" s="110" t="s">
        <v>2963</v>
      </c>
    </row>
    <row r="60" spans="1:3" x14ac:dyDescent="0.3">
      <c r="A60" s="94" t="s">
        <v>2779</v>
      </c>
      <c r="B60" s="93">
        <v>0.05</v>
      </c>
      <c r="C60" s="92" t="s">
        <v>2962</v>
      </c>
    </row>
    <row r="61" spans="1:3" x14ac:dyDescent="0.3">
      <c r="A61" s="126" t="s">
        <v>2948</v>
      </c>
      <c r="B61" s="122">
        <v>0.02</v>
      </c>
      <c r="C61" s="78" t="s">
        <v>2963</v>
      </c>
    </row>
    <row r="62" spans="1:3" x14ac:dyDescent="0.3">
      <c r="A62" s="82" t="s">
        <v>2744</v>
      </c>
      <c r="B62" s="80">
        <v>1</v>
      </c>
      <c r="C62" s="82" t="s">
        <v>2964</v>
      </c>
    </row>
    <row r="63" spans="1:3" x14ac:dyDescent="0.3">
      <c r="A63" s="96" t="s">
        <v>2788</v>
      </c>
    </row>
    <row r="65" spans="1:50" ht="30" customHeight="1" x14ac:dyDescent="0.3"/>
    <row r="66" spans="1:50" ht="25.05" customHeight="1" x14ac:dyDescent="0.35">
      <c r="A66" s="188" t="s">
        <v>2754</v>
      </c>
      <c r="B66" s="174"/>
      <c r="C66" s="174"/>
      <c r="D66" s="174"/>
      <c r="E66" s="174"/>
      <c r="F66" s="174"/>
      <c r="G66" s="174"/>
      <c r="H66" s="174"/>
      <c r="I66" s="174"/>
      <c r="J66" s="174"/>
      <c r="K66" s="174"/>
      <c r="L66" s="174"/>
      <c r="M66" s="174"/>
      <c r="N66" s="174"/>
      <c r="O66" s="174"/>
      <c r="P66" s="174"/>
      <c r="Q66" s="174"/>
      <c r="R66" s="174"/>
      <c r="S66" s="174"/>
      <c r="T66" s="174"/>
      <c r="U66" s="174"/>
      <c r="V66" s="174"/>
      <c r="W66" s="174"/>
      <c r="X66" s="174"/>
      <c r="Y66" s="174"/>
      <c r="Z66" s="174"/>
      <c r="AA66" s="174"/>
      <c r="AB66" s="174"/>
      <c r="AC66" s="174"/>
      <c r="AD66" s="174"/>
      <c r="AE66" s="174"/>
      <c r="AF66" s="174"/>
      <c r="AG66" s="174"/>
      <c r="AH66" s="174"/>
      <c r="AI66" s="174"/>
      <c r="AJ66" s="174"/>
      <c r="AK66" s="174"/>
      <c r="AL66" s="174"/>
      <c r="AM66" s="174"/>
      <c r="AN66" s="174"/>
      <c r="AO66" s="174"/>
      <c r="AP66" s="174"/>
      <c r="AQ66" s="174"/>
      <c r="AR66" s="174"/>
      <c r="AS66" s="174"/>
      <c r="AT66" s="174"/>
      <c r="AU66" s="174"/>
      <c r="AV66" s="174"/>
      <c r="AW66" s="174"/>
      <c r="AX66" s="174"/>
    </row>
    <row r="67" spans="1:50" ht="22.05" customHeight="1" x14ac:dyDescent="0.3">
      <c r="A67" s="133" t="s">
        <v>103</v>
      </c>
      <c r="B67" s="133" t="s">
        <v>104</v>
      </c>
      <c r="C67" s="133" t="s">
        <v>2331</v>
      </c>
      <c r="D67" s="133" t="s">
        <v>2332</v>
      </c>
      <c r="E67" s="133" t="s">
        <v>2712</v>
      </c>
      <c r="F67" s="133" t="s">
        <v>2755</v>
      </c>
      <c r="G67" s="133" t="s">
        <v>2756</v>
      </c>
      <c r="H67" s="133" t="s">
        <v>2757</v>
      </c>
      <c r="I67" s="133" t="s">
        <v>2965</v>
      </c>
      <c r="J67" s="133" t="s">
        <v>2721</v>
      </c>
      <c r="K67" s="133" t="s">
        <v>1786</v>
      </c>
      <c r="L67" s="133" t="s">
        <v>2758</v>
      </c>
      <c r="M67" s="133" t="s">
        <v>2724</v>
      </c>
      <c r="N67" s="133" t="s">
        <v>1790</v>
      </c>
      <c r="O67" s="133" t="s">
        <v>2727</v>
      </c>
      <c r="P67" s="133" t="s">
        <v>2729</v>
      </c>
      <c r="Q67" s="133" t="s">
        <v>2849</v>
      </c>
      <c r="R67" s="133" t="s">
        <v>2966</v>
      </c>
      <c r="S67" s="133" t="s">
        <v>2967</v>
      </c>
      <c r="T67" s="133" t="s">
        <v>2863</v>
      </c>
      <c r="U67" s="133" t="s">
        <v>2968</v>
      </c>
      <c r="V67" s="133" t="s">
        <v>2969</v>
      </c>
      <c r="W67" s="133" t="s">
        <v>2970</v>
      </c>
      <c r="X67" s="133" t="s">
        <v>2999</v>
      </c>
      <c r="Y67" s="133" t="s">
        <v>3023</v>
      </c>
      <c r="Z67" s="133" t="s">
        <v>3024</v>
      </c>
      <c r="AA67" s="133" t="s">
        <v>2971</v>
      </c>
      <c r="AB67" s="133" t="s">
        <v>2972</v>
      </c>
      <c r="AC67" s="133" t="s">
        <v>2973</v>
      </c>
      <c r="AD67" s="133" t="s">
        <v>2759</v>
      </c>
      <c r="AE67" s="133" t="s">
        <v>3005</v>
      </c>
      <c r="AF67" s="133" t="s">
        <v>2314</v>
      </c>
      <c r="AG67" s="133" t="s">
        <v>2552</v>
      </c>
      <c r="AH67" s="133" t="s">
        <v>3025</v>
      </c>
      <c r="AI67" s="133" t="s">
        <v>3026</v>
      </c>
      <c r="AJ67" s="133" t="s">
        <v>3010</v>
      </c>
      <c r="AK67" s="133" t="s">
        <v>2974</v>
      </c>
      <c r="AL67" s="133" t="s">
        <v>3027</v>
      </c>
      <c r="AM67" s="133" t="s">
        <v>2976</v>
      </c>
      <c r="AN67" s="133" t="s">
        <v>2926</v>
      </c>
      <c r="AO67" s="133" t="s">
        <v>3028</v>
      </c>
      <c r="AP67" s="133" t="s">
        <v>2977</v>
      </c>
      <c r="AQ67" s="133" t="s">
        <v>2784</v>
      </c>
      <c r="AR67" s="133" t="s">
        <v>3017</v>
      </c>
      <c r="AS67" s="133" t="s">
        <v>2782</v>
      </c>
      <c r="AT67" s="133" t="s">
        <v>2783</v>
      </c>
      <c r="AU67" s="133" t="s">
        <v>2949</v>
      </c>
      <c r="AV67" s="133" t="s">
        <v>2978</v>
      </c>
      <c r="AW67" s="127" t="s">
        <v>2760</v>
      </c>
      <c r="AX67" s="127" t="s">
        <v>2761</v>
      </c>
    </row>
    <row r="68" spans="1:50" x14ac:dyDescent="0.3">
      <c r="A68" s="5" t="s">
        <v>115</v>
      </c>
      <c r="B68" s="5" t="s">
        <v>116</v>
      </c>
      <c r="C68" s="6">
        <v>46203</v>
      </c>
      <c r="D68" s="5">
        <v>5</v>
      </c>
      <c r="E68" s="5">
        <v>12</v>
      </c>
      <c r="F68" s="5">
        <v>320</v>
      </c>
      <c r="G68" s="5">
        <v>0</v>
      </c>
      <c r="H68" s="5">
        <v>0</v>
      </c>
      <c r="I68" s="5">
        <v>1</v>
      </c>
      <c r="J68" s="5">
        <v>85</v>
      </c>
      <c r="K68" s="5">
        <v>3</v>
      </c>
      <c r="L68" s="5">
        <v>2</v>
      </c>
      <c r="M68" s="5">
        <v>100</v>
      </c>
      <c r="N68" s="5">
        <v>2</v>
      </c>
      <c r="O68" s="5">
        <v>0</v>
      </c>
      <c r="P68" s="5">
        <v>4</v>
      </c>
      <c r="Q68" s="5">
        <v>4</v>
      </c>
      <c r="R68" s="5">
        <v>0</v>
      </c>
      <c r="S68" s="5">
        <v>4</v>
      </c>
      <c r="T68" s="5">
        <v>5</v>
      </c>
      <c r="U68" s="5">
        <v>0</v>
      </c>
      <c r="V68" s="5">
        <v>5</v>
      </c>
      <c r="W68" s="5">
        <v>5</v>
      </c>
      <c r="X68" s="5">
        <v>2</v>
      </c>
      <c r="Y68" s="5">
        <v>2</v>
      </c>
      <c r="Z68" s="5">
        <v>30</v>
      </c>
      <c r="AA68" s="5">
        <v>5</v>
      </c>
      <c r="AB68" s="5">
        <v>1</v>
      </c>
      <c r="AC68" s="5">
        <v>2</v>
      </c>
      <c r="AD68" s="5">
        <v>5</v>
      </c>
      <c r="AE68" s="5">
        <v>0</v>
      </c>
      <c r="AF68" s="5">
        <v>5</v>
      </c>
      <c r="AG68" s="5">
        <v>4</v>
      </c>
      <c r="AH68" s="5">
        <v>4</v>
      </c>
      <c r="AI68" s="5">
        <v>4</v>
      </c>
      <c r="AJ68" s="5">
        <v>4</v>
      </c>
      <c r="AK68" s="5">
        <v>15</v>
      </c>
      <c r="AL68" s="5">
        <v>90</v>
      </c>
      <c r="AM68" s="5">
        <v>5</v>
      </c>
      <c r="AN68" s="5">
        <v>5</v>
      </c>
      <c r="AO68" s="5">
        <v>5</v>
      </c>
      <c r="AP68" s="5">
        <v>0</v>
      </c>
      <c r="AQ68" s="5">
        <v>90</v>
      </c>
      <c r="AR68" s="5">
        <v>0</v>
      </c>
      <c r="AS68" s="5">
        <v>5</v>
      </c>
      <c r="AT68" s="5">
        <v>4</v>
      </c>
      <c r="AU68" s="5">
        <v>1</v>
      </c>
      <c r="AV68" s="5">
        <v>500</v>
      </c>
      <c r="AW68" s="99">
        <f>ROUND((IF(E68&lt;10,1,IF(E68&lt;30,2,IF(E68&lt;60,3,IF(E68&lt;100,4,5))))*0.04)+(IF(F68&lt;200,1,IF(F68&lt;500,2,IF(F68&lt;1500,3,IF(F68&lt;3000,4,5))))*0.03)+(IF(G68=0,1,IF(G68=1,2,IF(G68=2,3,IF(G68&lt;5,4,5))))*0.05)+(IF(H68=0,1,IF(H68=1,2,IF(H68=2,3,IF(H68=3,4,5))))*0.04)+(I68*0.02)+(IF(J68&gt;90,1,IF(J68&gt;80,2,IF(J68&gt;70,3,IF(J68&gt;60,4,5))))*0.06)+(IF(K68&lt;3,1,IF(K68&lt;5,2,IF(K68&lt;7,3,IF(K68&lt;10,4,5))))*0.03)+(IF(L68&lt;3,1,IF(L68&lt;6,2,IF(L68&lt;10,3,IF(L68&lt;15,4,5))))*0.04)+(IF(M68&gt;95,1,IF(M68&gt;85,2,IF(M68&gt;75,3,IF(M68&gt;60,4,5))))*0.02)+(IF(N68&lt;3,1,IF(N68&lt;5,2,IF(N68&lt;7,3,IF(N68&lt;10,4,5))))*0.03)+(IF(O68&lt;2,1,IF(O68&lt;4,2,IF(O68&lt;7,3,IF(O68&lt;10,4,5))))*0.02)+((6-P68)*0.03)+((6-Q68)*0.02)+(IF(R68=0,1,IF(R68&lt;3,2,IF(R68&lt;5,3,IF(R68&lt;10,4,5))))*0.03)+((6-S68)*0.03)+((6-T68)*0.02)+(IF(U68=0,1,3)*0.015)+((6-V68)*0.01)+((6-W68)*0.015)+(IF(X68&lt;3,1,IF(X68&lt;6,2,IF(X68&lt;10,3,IF(X68&lt;15,4,5))))*0.02)+(IF(Y68&lt;2,1,IF(Y68&lt;4,2,IF(Y68&lt;6,3,IF(Y68&lt;8,4,5))))*0.03)+(IF(Z68&gt;14,1,IF(Z68&gt;7,2,IF(Z68&gt;3,3,IF(Z68&gt;1,4,5))))*0.03)+((6-AA68)*0.03)+(IF(AB68=0,1,IF(AB68=1,2,IF(AB68=2,3,IF(AB68=3,4,5))))*0.03)+(IF(AC68&lt;2,1,IF(AC68&lt;4,2,IF(AC68&lt;6,3,IF(AC68&lt;8,4,5))))*0.03)+((6-AD68)*0.02)+(IF(AE68=0,1,IF(AE68=1,3,5))*0.02)+((6-AF68)*0.02)+((6-AG68)*0.02)+((6-AH68)*0.015)+((6-AI68)*0.015)+((6-AJ68)*0.015)+(IF(AK68&lt;15,1,IF(AK68&lt;30,2,IF(AK68&lt;60,3,IF(AK68&lt;120,4,5))))*0.02)+(IF(AL68&gt;90,1,IF(AL68&gt;75,2,IF(AL68&gt;50,3,IF(AL68&gt;25,4,5))))*0.015)+((6-AM68)*0.02)+(IF(AN68&lt;5,1,IF(AN68&lt;10,2,IF(AN68&lt;15,3,IF(AN68&lt;25,4,5))))*0.02)+((6-AO68)*0.01)+(IF(AP68&lt;2,1,IF(AP68&lt;5,2,IF(AP68&lt;10,3,IF(AP68&lt;20,4,5))))*0.008)+(IF(AQ68&gt;60,1,IF(AQ68&gt;30,2,IF(AQ68&gt;14,3,IF(AQ68&gt;7,4,5))))*0.008)+(IF(AR68=0,1,IF(AR68=1,2,IF(AR68=2,3,IF(AR68=3,4,5))))*0.01)+((6-AS68)*0.008)+((6-AT68)*0.008)+(AU68*0.01)+(IF(AV68&lt;1000,1,IF(AV68&lt;5000,2,IF(AV68&lt;20000,3,IF(AV68&lt;50000,4,5))))*0.01),2)</f>
        <v>1.45</v>
      </c>
      <c r="AX68" s="90" t="str">
        <f>IF(AW68&gt;=4,"SEVERE",IF(AW68&gt;=3.5,"CRITICAL",IF(AW68&gt;=2.5,"HIGH",IF(AW68&gt;=1.5,"MEDIUM","LOW"))))</f>
        <v>LOW</v>
      </c>
    </row>
    <row r="69" spans="1:50" x14ac:dyDescent="0.3">
      <c r="A69" s="5" t="s">
        <v>125</v>
      </c>
      <c r="B69" s="5" t="s">
        <v>2979</v>
      </c>
      <c r="C69" s="6">
        <v>46207</v>
      </c>
      <c r="D69" s="5">
        <v>9</v>
      </c>
      <c r="E69" s="5">
        <v>45</v>
      </c>
      <c r="F69" s="5">
        <v>1200</v>
      </c>
      <c r="G69" s="5">
        <v>1</v>
      </c>
      <c r="H69" s="5">
        <v>1</v>
      </c>
      <c r="I69" s="5">
        <v>2</v>
      </c>
      <c r="J69" s="5">
        <v>72</v>
      </c>
      <c r="K69" s="5">
        <v>5</v>
      </c>
      <c r="L69" s="5">
        <v>8</v>
      </c>
      <c r="M69" s="5">
        <v>90</v>
      </c>
      <c r="N69" s="5">
        <v>4</v>
      </c>
      <c r="O69" s="5">
        <v>3</v>
      </c>
      <c r="P69" s="5">
        <v>3</v>
      </c>
      <c r="Q69" s="5">
        <v>3</v>
      </c>
      <c r="R69" s="5">
        <v>2</v>
      </c>
      <c r="S69" s="5">
        <v>3</v>
      </c>
      <c r="T69" s="5">
        <v>4</v>
      </c>
      <c r="U69" s="5">
        <v>0</v>
      </c>
      <c r="V69" s="5">
        <v>4</v>
      </c>
      <c r="W69" s="5">
        <v>5</v>
      </c>
      <c r="X69" s="5">
        <v>5</v>
      </c>
      <c r="Y69" s="5">
        <v>3</v>
      </c>
      <c r="Z69" s="5">
        <v>20</v>
      </c>
      <c r="AA69" s="5">
        <v>4</v>
      </c>
      <c r="AB69" s="5">
        <v>2</v>
      </c>
      <c r="AC69" s="5">
        <v>3</v>
      </c>
      <c r="AD69" s="5">
        <v>4</v>
      </c>
      <c r="AE69" s="5">
        <v>1</v>
      </c>
      <c r="AF69" s="5">
        <v>4</v>
      </c>
      <c r="AG69" s="5">
        <v>3</v>
      </c>
      <c r="AH69" s="5">
        <v>3</v>
      </c>
      <c r="AI69" s="5">
        <v>3</v>
      </c>
      <c r="AJ69" s="5">
        <v>4</v>
      </c>
      <c r="AK69" s="5">
        <v>30</v>
      </c>
      <c r="AL69" s="5">
        <v>75</v>
      </c>
      <c r="AM69" s="5">
        <v>4</v>
      </c>
      <c r="AN69" s="5">
        <v>10</v>
      </c>
      <c r="AO69" s="5">
        <v>4</v>
      </c>
      <c r="AP69" s="5">
        <v>3</v>
      </c>
      <c r="AQ69" s="5">
        <v>60</v>
      </c>
      <c r="AR69" s="5">
        <v>1</v>
      </c>
      <c r="AS69" s="5">
        <v>4</v>
      </c>
      <c r="AT69" s="5">
        <v>3</v>
      </c>
      <c r="AU69" s="5">
        <v>2</v>
      </c>
      <c r="AV69" s="5">
        <v>5000</v>
      </c>
      <c r="AW69" s="99">
        <f t="shared" ref="AW69:AW79" si="0">ROUND((IF(E69&lt;10,1,IF(E69&lt;30,2,IF(E69&lt;60,3,IF(E69&lt;100,4,5))))*0.04)+(IF(F69&lt;200,1,IF(F69&lt;500,2,IF(F69&lt;1500,3,IF(F69&lt;3000,4,5))))*0.03)+(IF(G69=0,1,IF(G69=1,2,IF(G69=2,3,IF(G69&lt;5,4,5))))*0.05)+(IF(H69=0,1,IF(H69=1,2,IF(H69=2,3,IF(H69=3,4,5))))*0.04)+(I69*0.02)+(IF(J69&gt;90,1,IF(J69&gt;80,2,IF(J69&gt;70,3,IF(J69&gt;60,4,5))))*0.06)+(IF(K69&lt;3,1,IF(K69&lt;5,2,IF(K69&lt;7,3,IF(K69&lt;10,4,5))))*0.03)+(IF(L69&lt;3,1,IF(L69&lt;6,2,IF(L69&lt;10,3,IF(L69&lt;15,4,5))))*0.04)+(IF(M69&gt;95,1,IF(M69&gt;85,2,IF(M69&gt;75,3,IF(M69&gt;60,4,5))))*0.02)+(IF(N69&lt;3,1,IF(N69&lt;5,2,IF(N69&lt;7,3,IF(N69&lt;10,4,5))))*0.03)+(IF(O69&lt;2,1,IF(O69&lt;4,2,IF(O69&lt;7,3,IF(O69&lt;10,4,5))))*0.02)+((6-P69)*0.03)+((6-Q69)*0.02)+(IF(R69=0,1,IF(R69&lt;3,2,IF(R69&lt;5,3,IF(R69&lt;10,4,5))))*0.03)+((6-S69)*0.03)+((6-T69)*0.02)+(IF(U69=0,1,3)*0.015)+((6-V69)*0.01)+((6-W69)*0.015)+(IF(X69&lt;3,1,IF(X69&lt;6,2,IF(X69&lt;10,3,IF(X69&lt;15,4,5))))*0.02)+(IF(Y69&lt;2,1,IF(Y69&lt;4,2,IF(Y69&lt;6,3,IF(Y69&lt;8,4,5))))*0.03)+(IF(Z69&gt;14,1,IF(Z69&gt;7,2,IF(Z69&gt;3,3,IF(Z69&gt;1,4,5))))*0.03)+((6-AA69)*0.03)+(IF(AB69=0,1,IF(AB69=1,2,IF(AB69=2,3,IF(AB69=3,4,5))))*0.03)+(IF(AC69&lt;2,1,IF(AC69&lt;4,2,IF(AC69&lt;6,3,IF(AC69&lt;8,4,5))))*0.03)+((6-AD69)*0.02)+(IF(AE69=0,1,IF(AE69=1,3,5))*0.02)+((6-AF69)*0.02)+((6-AG69)*0.02)+((6-AH69)*0.015)+((6-AI69)*0.015)+((6-AJ69)*0.015)+(IF(AK69&lt;15,1,IF(AK69&lt;30,2,IF(AK69&lt;60,3,IF(AK69&lt;120,4,5))))*0.02)+(IF(AL69&gt;90,1,IF(AL69&gt;75,2,IF(AL69&gt;50,3,IF(AL69&gt;25,4,5))))*0.015)+((6-AM69)*0.02)+(IF(AN69&lt;5,1,IF(AN69&lt;10,2,IF(AN69&lt;15,3,IF(AN69&lt;25,4,5))))*0.02)+((6-AO69)*0.01)+(IF(AP69&lt;2,1,IF(AP69&lt;5,2,IF(AP69&lt;10,3,IF(AP69&lt;20,4,5))))*0.008)+(IF(AQ69&gt;60,1,IF(AQ69&gt;30,2,IF(AQ69&gt;14,3,IF(AQ69&gt;7,4,5))))*0.008)+(IF(AR69=0,1,IF(AR69=1,2,IF(AR69=2,3,IF(AR69=3,4,5))))*0.01)+((6-AS69)*0.008)+((6-AT69)*0.008)+(AU69*0.01)+(IF(AV69&lt;1000,1,IF(AV69&lt;5000,2,IF(AV69&lt;20000,3,IF(AV69&lt;50000,4,5))))*0.01),2)</f>
        <v>2.38</v>
      </c>
      <c r="AX69" s="90" t="str">
        <f t="shared" ref="AX69:AX79" si="1">IF(AW69&gt;=4,"SEVERE",IF(AW69&gt;=3.5,"CRITICAL",IF(AW69&gt;=2.5,"HIGH",IF(AW69&gt;=1.5,"MEDIUM","LOW"))))</f>
        <v>MEDIUM</v>
      </c>
    </row>
    <row r="70" spans="1:50" x14ac:dyDescent="0.3">
      <c r="A70" s="5" t="s">
        <v>132</v>
      </c>
      <c r="B70" s="5" t="s">
        <v>2980</v>
      </c>
      <c r="C70" s="6">
        <v>46205</v>
      </c>
      <c r="D70" s="5">
        <v>7</v>
      </c>
      <c r="E70" s="5">
        <v>5</v>
      </c>
      <c r="F70" s="5">
        <v>80</v>
      </c>
      <c r="G70" s="5">
        <v>0</v>
      </c>
      <c r="H70" s="5">
        <v>0</v>
      </c>
      <c r="I70" s="5">
        <v>1</v>
      </c>
      <c r="J70" s="5">
        <v>92</v>
      </c>
      <c r="K70" s="5">
        <v>2</v>
      </c>
      <c r="L70" s="5">
        <v>1</v>
      </c>
      <c r="M70" s="5">
        <v>100</v>
      </c>
      <c r="N70" s="5">
        <v>1</v>
      </c>
      <c r="O70" s="5">
        <v>0</v>
      </c>
      <c r="P70" s="5">
        <v>5</v>
      </c>
      <c r="Q70" s="5">
        <v>5</v>
      </c>
      <c r="R70" s="5">
        <v>0</v>
      </c>
      <c r="S70" s="5">
        <v>5</v>
      </c>
      <c r="T70" s="5">
        <v>5</v>
      </c>
      <c r="U70" s="5">
        <v>0</v>
      </c>
      <c r="V70" s="5">
        <v>5</v>
      </c>
      <c r="W70" s="5">
        <v>5</v>
      </c>
      <c r="X70" s="5">
        <v>2</v>
      </c>
      <c r="Y70" s="5">
        <v>1</v>
      </c>
      <c r="Z70" s="5">
        <v>45</v>
      </c>
      <c r="AA70" s="5">
        <v>5</v>
      </c>
      <c r="AB70" s="5">
        <v>0</v>
      </c>
      <c r="AC70" s="5">
        <v>1</v>
      </c>
      <c r="AD70" s="5">
        <v>5</v>
      </c>
      <c r="AE70" s="5">
        <v>0</v>
      </c>
      <c r="AF70" s="5">
        <v>5</v>
      </c>
      <c r="AG70" s="5">
        <v>5</v>
      </c>
      <c r="AH70" s="5">
        <v>5</v>
      </c>
      <c r="AI70" s="5">
        <v>5</v>
      </c>
      <c r="AJ70" s="5">
        <v>5</v>
      </c>
      <c r="AK70" s="5">
        <v>10</v>
      </c>
      <c r="AL70" s="5">
        <v>95</v>
      </c>
      <c r="AM70" s="5">
        <v>5</v>
      </c>
      <c r="AN70" s="5">
        <v>2</v>
      </c>
      <c r="AO70" s="5">
        <v>5</v>
      </c>
      <c r="AP70" s="5">
        <v>5</v>
      </c>
      <c r="AQ70" s="5">
        <v>120</v>
      </c>
      <c r="AR70" s="5">
        <v>0</v>
      </c>
      <c r="AS70" s="5">
        <v>5</v>
      </c>
      <c r="AT70" s="5">
        <v>5</v>
      </c>
      <c r="AU70" s="5">
        <v>1</v>
      </c>
      <c r="AV70" s="5">
        <v>200</v>
      </c>
      <c r="AW70" s="99">
        <f t="shared" si="0"/>
        <v>1.01</v>
      </c>
      <c r="AX70" s="90" t="str">
        <f t="shared" si="1"/>
        <v>LOW</v>
      </c>
    </row>
    <row r="71" spans="1:50" x14ac:dyDescent="0.3">
      <c r="A71" s="5" t="s">
        <v>136</v>
      </c>
      <c r="B71" s="5" t="s">
        <v>2981</v>
      </c>
      <c r="C71" s="6">
        <v>46210</v>
      </c>
      <c r="D71" s="5">
        <v>12</v>
      </c>
      <c r="E71" s="5">
        <v>85</v>
      </c>
      <c r="F71" s="5">
        <v>3200</v>
      </c>
      <c r="G71" s="5">
        <v>4</v>
      </c>
      <c r="H71" s="5">
        <v>2</v>
      </c>
      <c r="I71" s="5">
        <v>3</v>
      </c>
      <c r="J71" s="5">
        <v>65</v>
      </c>
      <c r="K71" s="5">
        <v>8</v>
      </c>
      <c r="L71" s="5">
        <v>15</v>
      </c>
      <c r="M71" s="5">
        <v>80</v>
      </c>
      <c r="N71" s="5">
        <v>7</v>
      </c>
      <c r="O71" s="5">
        <v>8</v>
      </c>
      <c r="P71" s="5">
        <v>2</v>
      </c>
      <c r="Q71" s="5">
        <v>2</v>
      </c>
      <c r="R71" s="5">
        <v>5</v>
      </c>
      <c r="S71" s="5">
        <v>2</v>
      </c>
      <c r="T71" s="5">
        <v>3</v>
      </c>
      <c r="U71" s="5">
        <v>1</v>
      </c>
      <c r="V71" s="5">
        <v>3</v>
      </c>
      <c r="W71" s="5">
        <v>3</v>
      </c>
      <c r="X71" s="5">
        <v>8</v>
      </c>
      <c r="Y71" s="5">
        <v>4</v>
      </c>
      <c r="Z71" s="5">
        <v>10</v>
      </c>
      <c r="AA71" s="5">
        <v>3</v>
      </c>
      <c r="AB71" s="5">
        <v>3</v>
      </c>
      <c r="AC71" s="5">
        <v>5</v>
      </c>
      <c r="AD71" s="5">
        <v>3</v>
      </c>
      <c r="AE71" s="5">
        <v>2</v>
      </c>
      <c r="AF71" s="5">
        <v>3</v>
      </c>
      <c r="AG71" s="5">
        <v>2</v>
      </c>
      <c r="AH71" s="5">
        <v>2</v>
      </c>
      <c r="AI71" s="5">
        <v>2</v>
      </c>
      <c r="AJ71" s="5">
        <v>3</v>
      </c>
      <c r="AK71" s="5">
        <v>60</v>
      </c>
      <c r="AL71" s="5">
        <v>60</v>
      </c>
      <c r="AM71" s="5">
        <v>3</v>
      </c>
      <c r="AN71" s="5">
        <v>18</v>
      </c>
      <c r="AO71" s="5">
        <v>3</v>
      </c>
      <c r="AP71" s="5">
        <v>2</v>
      </c>
      <c r="AQ71" s="5">
        <v>45</v>
      </c>
      <c r="AR71" s="5">
        <v>2</v>
      </c>
      <c r="AS71" s="5">
        <v>3</v>
      </c>
      <c r="AT71" s="5">
        <v>2</v>
      </c>
      <c r="AU71" s="5">
        <v>3</v>
      </c>
      <c r="AV71" s="5">
        <v>25000</v>
      </c>
      <c r="AW71" s="99">
        <f t="shared" si="0"/>
        <v>3.59</v>
      </c>
      <c r="AX71" s="90" t="str">
        <f t="shared" si="1"/>
        <v>CRITICAL</v>
      </c>
    </row>
    <row r="72" spans="1:50" x14ac:dyDescent="0.3">
      <c r="A72" s="5" t="s">
        <v>140</v>
      </c>
      <c r="B72" s="5" t="s">
        <v>2982</v>
      </c>
      <c r="C72" s="6">
        <v>46215</v>
      </c>
      <c r="D72" s="5">
        <v>17</v>
      </c>
      <c r="E72" s="5">
        <v>35</v>
      </c>
      <c r="F72" s="5">
        <v>950</v>
      </c>
      <c r="G72" s="5">
        <v>1</v>
      </c>
      <c r="H72" s="5">
        <v>2</v>
      </c>
      <c r="I72" s="5">
        <v>2</v>
      </c>
      <c r="J72" s="5">
        <v>78</v>
      </c>
      <c r="K72" s="5">
        <v>4</v>
      </c>
      <c r="L72" s="5">
        <v>5</v>
      </c>
      <c r="M72" s="5">
        <v>95</v>
      </c>
      <c r="N72" s="5">
        <v>3</v>
      </c>
      <c r="O72" s="5">
        <v>2</v>
      </c>
      <c r="P72" s="5">
        <v>4</v>
      </c>
      <c r="Q72" s="5">
        <v>4</v>
      </c>
      <c r="R72" s="5">
        <v>1</v>
      </c>
      <c r="S72" s="5">
        <v>4</v>
      </c>
      <c r="T72" s="5">
        <v>4</v>
      </c>
      <c r="U72" s="5">
        <v>0</v>
      </c>
      <c r="V72" s="5">
        <v>4</v>
      </c>
      <c r="W72" s="5">
        <v>5</v>
      </c>
      <c r="X72" s="5">
        <v>4</v>
      </c>
      <c r="Y72" s="5">
        <v>3</v>
      </c>
      <c r="Z72" s="5">
        <v>25</v>
      </c>
      <c r="AA72" s="5">
        <v>4</v>
      </c>
      <c r="AB72" s="5">
        <v>1</v>
      </c>
      <c r="AC72" s="5">
        <v>3</v>
      </c>
      <c r="AD72" s="5">
        <v>4</v>
      </c>
      <c r="AE72" s="5">
        <v>1</v>
      </c>
      <c r="AF72" s="5">
        <v>4</v>
      </c>
      <c r="AG72" s="5">
        <v>4</v>
      </c>
      <c r="AH72" s="5">
        <v>4</v>
      </c>
      <c r="AI72" s="5">
        <v>4</v>
      </c>
      <c r="AJ72" s="5">
        <v>4</v>
      </c>
      <c r="AK72" s="5">
        <v>25</v>
      </c>
      <c r="AL72" s="5">
        <v>80</v>
      </c>
      <c r="AM72" s="5">
        <v>4</v>
      </c>
      <c r="AN72" s="5">
        <v>8</v>
      </c>
      <c r="AO72" s="5">
        <v>4</v>
      </c>
      <c r="AP72" s="5">
        <v>4</v>
      </c>
      <c r="AQ72" s="5">
        <v>75</v>
      </c>
      <c r="AR72" s="5">
        <v>0</v>
      </c>
      <c r="AS72" s="5">
        <v>4</v>
      </c>
      <c r="AT72" s="5">
        <v>4</v>
      </c>
      <c r="AU72" s="5">
        <v>2</v>
      </c>
      <c r="AV72" s="5">
        <v>8000</v>
      </c>
      <c r="AW72" s="99">
        <f t="shared" si="0"/>
        <v>2.11</v>
      </c>
      <c r="AX72" s="90" t="str">
        <f t="shared" si="1"/>
        <v>MEDIUM</v>
      </c>
    </row>
    <row r="73" spans="1:50" x14ac:dyDescent="0.3">
      <c r="A73" s="5" t="s">
        <v>146</v>
      </c>
      <c r="B73" s="5" t="s">
        <v>2983</v>
      </c>
      <c r="C73" s="6">
        <v>46220</v>
      </c>
      <c r="D73" s="5">
        <v>22</v>
      </c>
      <c r="E73" s="5">
        <v>18</v>
      </c>
      <c r="F73" s="5">
        <v>420</v>
      </c>
      <c r="G73" s="5">
        <v>0</v>
      </c>
      <c r="H73" s="5">
        <v>1</v>
      </c>
      <c r="I73" s="5">
        <v>1</v>
      </c>
      <c r="J73" s="5">
        <v>88</v>
      </c>
      <c r="K73" s="5">
        <v>3</v>
      </c>
      <c r="L73" s="5">
        <v>3</v>
      </c>
      <c r="M73" s="5">
        <v>100</v>
      </c>
      <c r="N73" s="5">
        <v>2</v>
      </c>
      <c r="O73" s="5">
        <v>1</v>
      </c>
      <c r="P73" s="5">
        <v>4</v>
      </c>
      <c r="Q73" s="5">
        <v>4</v>
      </c>
      <c r="R73" s="5">
        <v>0</v>
      </c>
      <c r="S73" s="5">
        <v>4</v>
      </c>
      <c r="T73" s="5">
        <v>5</v>
      </c>
      <c r="U73" s="5">
        <v>0</v>
      </c>
      <c r="V73" s="5">
        <v>5</v>
      </c>
      <c r="W73" s="5">
        <v>5</v>
      </c>
      <c r="X73" s="5">
        <v>3</v>
      </c>
      <c r="Y73" s="5">
        <v>2</v>
      </c>
      <c r="Z73" s="5">
        <v>35</v>
      </c>
      <c r="AA73" s="5">
        <v>5</v>
      </c>
      <c r="AB73" s="5">
        <v>0</v>
      </c>
      <c r="AC73" s="5">
        <v>2</v>
      </c>
      <c r="AD73" s="5">
        <v>5</v>
      </c>
      <c r="AE73" s="5">
        <v>0</v>
      </c>
      <c r="AF73" s="5">
        <v>5</v>
      </c>
      <c r="AG73" s="5">
        <v>4</v>
      </c>
      <c r="AH73" s="5">
        <v>4</v>
      </c>
      <c r="AI73" s="5">
        <v>4</v>
      </c>
      <c r="AJ73" s="5">
        <v>5</v>
      </c>
      <c r="AK73" s="5">
        <v>20</v>
      </c>
      <c r="AL73" s="5">
        <v>85</v>
      </c>
      <c r="AM73" s="5">
        <v>5</v>
      </c>
      <c r="AN73" s="5">
        <v>4</v>
      </c>
      <c r="AO73" s="5">
        <v>5</v>
      </c>
      <c r="AP73" s="5">
        <v>5</v>
      </c>
      <c r="AQ73" s="5">
        <v>90</v>
      </c>
      <c r="AR73" s="5">
        <v>0</v>
      </c>
      <c r="AS73" s="5">
        <v>5</v>
      </c>
      <c r="AT73" s="5">
        <v>5</v>
      </c>
      <c r="AU73" s="5">
        <v>1</v>
      </c>
      <c r="AV73" s="5">
        <v>1500</v>
      </c>
      <c r="AW73" s="99">
        <f t="shared" si="0"/>
        <v>1.5</v>
      </c>
      <c r="AX73" s="90" t="str">
        <f t="shared" si="1"/>
        <v>MEDIUM</v>
      </c>
    </row>
    <row r="74" spans="1:50" x14ac:dyDescent="0.3">
      <c r="A74" s="5" t="s">
        <v>150</v>
      </c>
      <c r="B74" s="5" t="s">
        <v>2984</v>
      </c>
      <c r="C74" s="6">
        <v>46225</v>
      </c>
      <c r="D74" s="5">
        <v>27</v>
      </c>
      <c r="E74" s="5">
        <v>150</v>
      </c>
      <c r="F74" s="5">
        <v>8500</v>
      </c>
      <c r="G74" s="5">
        <v>5</v>
      </c>
      <c r="H74" s="5">
        <v>4</v>
      </c>
      <c r="I74" s="5">
        <v>4</v>
      </c>
      <c r="J74" s="5">
        <v>58</v>
      </c>
      <c r="K74" s="5">
        <v>12</v>
      </c>
      <c r="L74" s="5">
        <v>25</v>
      </c>
      <c r="M74" s="5">
        <v>75</v>
      </c>
      <c r="N74" s="5">
        <v>10</v>
      </c>
      <c r="O74" s="5">
        <v>12</v>
      </c>
      <c r="P74" s="5">
        <v>2</v>
      </c>
      <c r="Q74" s="5">
        <v>2</v>
      </c>
      <c r="R74" s="5">
        <v>8</v>
      </c>
      <c r="S74" s="5">
        <v>2</v>
      </c>
      <c r="T74" s="5">
        <v>2</v>
      </c>
      <c r="U74" s="5">
        <v>1</v>
      </c>
      <c r="V74" s="5">
        <v>2</v>
      </c>
      <c r="W74" s="5">
        <v>2</v>
      </c>
      <c r="X74" s="5">
        <v>12</v>
      </c>
      <c r="Y74" s="5">
        <v>5</v>
      </c>
      <c r="Z74" s="5">
        <v>7</v>
      </c>
      <c r="AA74" s="5">
        <v>2</v>
      </c>
      <c r="AB74" s="5">
        <v>4</v>
      </c>
      <c r="AC74" s="5">
        <v>6</v>
      </c>
      <c r="AD74" s="5">
        <v>2</v>
      </c>
      <c r="AE74" s="5">
        <v>3</v>
      </c>
      <c r="AF74" s="5">
        <v>4</v>
      </c>
      <c r="AG74" s="5">
        <v>2</v>
      </c>
      <c r="AH74" s="5">
        <v>2</v>
      </c>
      <c r="AI74" s="5">
        <v>2</v>
      </c>
      <c r="AJ74" s="5">
        <v>2</v>
      </c>
      <c r="AK74" s="5">
        <v>90</v>
      </c>
      <c r="AL74" s="5">
        <v>50</v>
      </c>
      <c r="AM74" s="5">
        <v>2</v>
      </c>
      <c r="AN74" s="5">
        <v>22</v>
      </c>
      <c r="AO74" s="5">
        <v>2</v>
      </c>
      <c r="AP74" s="5">
        <v>2</v>
      </c>
      <c r="AQ74" s="5">
        <v>30</v>
      </c>
      <c r="AR74" s="5">
        <v>3</v>
      </c>
      <c r="AS74" s="5">
        <v>2</v>
      </c>
      <c r="AT74" s="5">
        <v>2</v>
      </c>
      <c r="AU74" s="5">
        <v>5</v>
      </c>
      <c r="AV74" s="5">
        <v>50000</v>
      </c>
      <c r="AW74" s="99">
        <f t="shared" si="0"/>
        <v>4.24</v>
      </c>
      <c r="AX74" s="90" t="str">
        <f t="shared" si="1"/>
        <v>SEVERE</v>
      </c>
    </row>
    <row r="75" spans="1:50" x14ac:dyDescent="0.3">
      <c r="A75" s="5" t="s">
        <v>153</v>
      </c>
      <c r="B75" s="5" t="s">
        <v>2985</v>
      </c>
      <c r="C75" s="6">
        <v>46230</v>
      </c>
      <c r="D75" s="5">
        <v>32</v>
      </c>
      <c r="E75" s="5">
        <v>42</v>
      </c>
      <c r="F75" s="5">
        <v>1100</v>
      </c>
      <c r="G75" s="5">
        <v>2</v>
      </c>
      <c r="H75" s="5">
        <v>1</v>
      </c>
      <c r="I75" s="5">
        <v>2</v>
      </c>
      <c r="J75" s="5">
        <v>75</v>
      </c>
      <c r="K75" s="5">
        <v>5</v>
      </c>
      <c r="L75" s="5">
        <v>6</v>
      </c>
      <c r="M75" s="5">
        <v>92</v>
      </c>
      <c r="N75" s="5">
        <v>4</v>
      </c>
      <c r="O75" s="5">
        <v>3</v>
      </c>
      <c r="P75" s="5">
        <v>3</v>
      </c>
      <c r="Q75" s="5">
        <v>3</v>
      </c>
      <c r="R75" s="5">
        <v>1</v>
      </c>
      <c r="S75" s="5">
        <v>3</v>
      </c>
      <c r="T75" s="5">
        <v>4</v>
      </c>
      <c r="U75" s="5">
        <v>0</v>
      </c>
      <c r="V75" s="5">
        <v>4</v>
      </c>
      <c r="W75" s="5">
        <v>5</v>
      </c>
      <c r="X75" s="5">
        <v>5</v>
      </c>
      <c r="Y75" s="5">
        <v>3</v>
      </c>
      <c r="Z75" s="5">
        <v>28</v>
      </c>
      <c r="AA75" s="5">
        <v>4</v>
      </c>
      <c r="AB75" s="5">
        <v>2</v>
      </c>
      <c r="AC75" s="5">
        <v>3</v>
      </c>
      <c r="AD75" s="5">
        <v>4</v>
      </c>
      <c r="AE75" s="5">
        <v>1</v>
      </c>
      <c r="AF75" s="5">
        <v>4</v>
      </c>
      <c r="AG75" s="5">
        <v>3</v>
      </c>
      <c r="AH75" s="5">
        <v>3</v>
      </c>
      <c r="AI75" s="5">
        <v>4</v>
      </c>
      <c r="AJ75" s="5">
        <v>4</v>
      </c>
      <c r="AK75" s="5">
        <v>35</v>
      </c>
      <c r="AL75" s="5">
        <v>70</v>
      </c>
      <c r="AM75" s="5">
        <v>4</v>
      </c>
      <c r="AN75" s="5">
        <v>12</v>
      </c>
      <c r="AO75" s="5">
        <v>4</v>
      </c>
      <c r="AP75" s="5">
        <v>3</v>
      </c>
      <c r="AQ75" s="5">
        <v>55</v>
      </c>
      <c r="AR75" s="5">
        <v>1</v>
      </c>
      <c r="AS75" s="5">
        <v>4</v>
      </c>
      <c r="AT75" s="5">
        <v>3</v>
      </c>
      <c r="AU75" s="5">
        <v>2</v>
      </c>
      <c r="AV75" s="5">
        <v>12000</v>
      </c>
      <c r="AW75" s="99">
        <f t="shared" si="0"/>
        <v>2.41</v>
      </c>
      <c r="AX75" s="90" t="str">
        <f t="shared" si="1"/>
        <v>MEDIUM</v>
      </c>
    </row>
    <row r="76" spans="1:50" x14ac:dyDescent="0.3">
      <c r="A76" s="5" t="s">
        <v>157</v>
      </c>
      <c r="B76" s="5" t="s">
        <v>2986</v>
      </c>
      <c r="C76" s="6">
        <v>46235</v>
      </c>
      <c r="D76" s="5">
        <v>37</v>
      </c>
      <c r="E76" s="5">
        <v>8</v>
      </c>
      <c r="F76" s="5">
        <v>150</v>
      </c>
      <c r="G76" s="5">
        <v>0</v>
      </c>
      <c r="H76" s="5">
        <v>0</v>
      </c>
      <c r="I76" s="5">
        <v>1</v>
      </c>
      <c r="J76" s="5">
        <v>90</v>
      </c>
      <c r="K76" s="5">
        <v>2</v>
      </c>
      <c r="L76" s="5">
        <v>2</v>
      </c>
      <c r="M76" s="5">
        <v>100</v>
      </c>
      <c r="N76" s="5">
        <v>2</v>
      </c>
      <c r="O76" s="5">
        <v>0</v>
      </c>
      <c r="P76" s="5">
        <v>5</v>
      </c>
      <c r="Q76" s="5">
        <v>5</v>
      </c>
      <c r="R76" s="5">
        <v>0</v>
      </c>
      <c r="S76" s="5">
        <v>5</v>
      </c>
      <c r="T76" s="5">
        <v>5</v>
      </c>
      <c r="U76" s="5">
        <v>0</v>
      </c>
      <c r="V76" s="5">
        <v>5</v>
      </c>
      <c r="W76" s="5">
        <v>5</v>
      </c>
      <c r="X76" s="5">
        <v>2</v>
      </c>
      <c r="Y76" s="5">
        <v>2</v>
      </c>
      <c r="Z76" s="5">
        <v>40</v>
      </c>
      <c r="AA76" s="5">
        <v>5</v>
      </c>
      <c r="AB76" s="5">
        <v>0</v>
      </c>
      <c r="AC76" s="5">
        <v>2</v>
      </c>
      <c r="AD76" s="5">
        <v>5</v>
      </c>
      <c r="AE76" s="5">
        <v>0</v>
      </c>
      <c r="AF76" s="5">
        <v>5</v>
      </c>
      <c r="AG76" s="5">
        <v>5</v>
      </c>
      <c r="AH76" s="5">
        <v>5</v>
      </c>
      <c r="AI76" s="5">
        <v>5</v>
      </c>
      <c r="AJ76" s="5">
        <v>5</v>
      </c>
      <c r="AK76" s="5">
        <v>12</v>
      </c>
      <c r="AL76" s="5">
        <v>92</v>
      </c>
      <c r="AM76" s="5">
        <v>5</v>
      </c>
      <c r="AN76" s="5">
        <v>3</v>
      </c>
      <c r="AO76" s="5">
        <v>5</v>
      </c>
      <c r="AP76" s="5">
        <v>5</v>
      </c>
      <c r="AQ76" s="5">
        <v>100</v>
      </c>
      <c r="AR76" s="5">
        <v>0</v>
      </c>
      <c r="AS76" s="5">
        <v>5</v>
      </c>
      <c r="AT76" s="5">
        <v>5</v>
      </c>
      <c r="AU76" s="5">
        <v>1</v>
      </c>
      <c r="AV76" s="5">
        <v>800</v>
      </c>
      <c r="AW76" s="99">
        <f t="shared" si="0"/>
        <v>1.1299999999999999</v>
      </c>
      <c r="AX76" s="90" t="str">
        <f t="shared" si="1"/>
        <v>LOW</v>
      </c>
    </row>
    <row r="77" spans="1:50" x14ac:dyDescent="0.3">
      <c r="A77" s="5" t="s">
        <v>161</v>
      </c>
      <c r="B77" s="5" t="s">
        <v>2987</v>
      </c>
      <c r="C77" s="6">
        <v>46212</v>
      </c>
      <c r="D77" s="5">
        <v>14</v>
      </c>
      <c r="E77" s="5">
        <v>200</v>
      </c>
      <c r="F77" s="5">
        <v>12000</v>
      </c>
      <c r="G77" s="5">
        <v>8</v>
      </c>
      <c r="H77" s="5">
        <v>5</v>
      </c>
      <c r="I77" s="5">
        <v>4</v>
      </c>
      <c r="J77" s="5">
        <v>52</v>
      </c>
      <c r="K77" s="5">
        <v>15</v>
      </c>
      <c r="L77" s="5">
        <v>35</v>
      </c>
      <c r="M77" s="5">
        <v>70</v>
      </c>
      <c r="N77" s="5">
        <v>12</v>
      </c>
      <c r="O77" s="5">
        <v>18</v>
      </c>
      <c r="P77" s="5">
        <v>1</v>
      </c>
      <c r="Q77" s="5">
        <v>1</v>
      </c>
      <c r="R77" s="5">
        <v>12</v>
      </c>
      <c r="S77" s="5">
        <v>1</v>
      </c>
      <c r="T77" s="5">
        <v>2</v>
      </c>
      <c r="U77" s="5">
        <v>1</v>
      </c>
      <c r="V77" s="5">
        <v>2</v>
      </c>
      <c r="W77" s="5">
        <v>2</v>
      </c>
      <c r="X77" s="5">
        <v>15</v>
      </c>
      <c r="Y77" s="5">
        <v>5</v>
      </c>
      <c r="Z77" s="5">
        <v>5</v>
      </c>
      <c r="AA77" s="5">
        <v>1</v>
      </c>
      <c r="AB77" s="5">
        <v>5</v>
      </c>
      <c r="AC77" s="5">
        <v>8</v>
      </c>
      <c r="AD77" s="5">
        <v>1</v>
      </c>
      <c r="AE77" s="5">
        <v>4</v>
      </c>
      <c r="AF77" s="5">
        <v>5</v>
      </c>
      <c r="AG77" s="5">
        <v>1</v>
      </c>
      <c r="AH77" s="5">
        <v>1</v>
      </c>
      <c r="AI77" s="5">
        <v>1</v>
      </c>
      <c r="AJ77" s="5">
        <v>2</v>
      </c>
      <c r="AK77" s="5">
        <v>120</v>
      </c>
      <c r="AL77" s="5">
        <v>40</v>
      </c>
      <c r="AM77" s="5">
        <v>2</v>
      </c>
      <c r="AN77" s="5">
        <v>28</v>
      </c>
      <c r="AO77" s="5">
        <v>2</v>
      </c>
      <c r="AP77" s="5">
        <v>1</v>
      </c>
      <c r="AQ77" s="5">
        <v>25</v>
      </c>
      <c r="AR77" s="5">
        <v>4</v>
      </c>
      <c r="AS77" s="5">
        <v>1</v>
      </c>
      <c r="AT77" s="5">
        <v>3</v>
      </c>
      <c r="AU77" s="5">
        <v>5</v>
      </c>
      <c r="AV77" s="5">
        <v>100000</v>
      </c>
      <c r="AW77" s="99">
        <f t="shared" si="0"/>
        <v>4.5199999999999996</v>
      </c>
      <c r="AX77" s="90" t="str">
        <f t="shared" si="1"/>
        <v>SEVERE</v>
      </c>
    </row>
    <row r="78" spans="1:50" x14ac:dyDescent="0.3">
      <c r="A78" s="5" t="s">
        <v>165</v>
      </c>
      <c r="B78" s="5" t="s">
        <v>2988</v>
      </c>
      <c r="C78" s="6">
        <v>46240</v>
      </c>
      <c r="D78" s="5">
        <v>42</v>
      </c>
      <c r="E78" s="5">
        <v>28</v>
      </c>
      <c r="F78" s="5">
        <v>720</v>
      </c>
      <c r="G78" s="5">
        <v>1</v>
      </c>
      <c r="H78" s="5">
        <v>1</v>
      </c>
      <c r="I78" s="5">
        <v>1</v>
      </c>
      <c r="J78" s="5">
        <v>82</v>
      </c>
      <c r="K78" s="5">
        <v>4</v>
      </c>
      <c r="L78" s="5">
        <v>4</v>
      </c>
      <c r="M78" s="5">
        <v>95</v>
      </c>
      <c r="N78" s="5">
        <v>3</v>
      </c>
      <c r="O78" s="5">
        <v>2</v>
      </c>
      <c r="P78" s="5">
        <v>4</v>
      </c>
      <c r="Q78" s="5">
        <v>4</v>
      </c>
      <c r="R78" s="5">
        <v>1</v>
      </c>
      <c r="S78" s="5">
        <v>4</v>
      </c>
      <c r="T78" s="5">
        <v>4</v>
      </c>
      <c r="U78" s="5">
        <v>0</v>
      </c>
      <c r="V78" s="5">
        <v>4</v>
      </c>
      <c r="W78" s="5">
        <v>5</v>
      </c>
      <c r="X78" s="5">
        <v>4</v>
      </c>
      <c r="Y78" s="5">
        <v>3</v>
      </c>
      <c r="Z78" s="5">
        <v>32</v>
      </c>
      <c r="AA78" s="5">
        <v>4</v>
      </c>
      <c r="AB78" s="5">
        <v>1</v>
      </c>
      <c r="AC78" s="5">
        <v>3</v>
      </c>
      <c r="AD78" s="5">
        <v>4</v>
      </c>
      <c r="AE78" s="5">
        <v>1</v>
      </c>
      <c r="AF78" s="5">
        <v>4</v>
      </c>
      <c r="AG78" s="5">
        <v>4</v>
      </c>
      <c r="AH78" s="5">
        <v>4</v>
      </c>
      <c r="AI78" s="5">
        <v>4</v>
      </c>
      <c r="AJ78" s="5">
        <v>4</v>
      </c>
      <c r="AK78" s="5">
        <v>22</v>
      </c>
      <c r="AL78" s="5">
        <v>82</v>
      </c>
      <c r="AM78" s="5">
        <v>4</v>
      </c>
      <c r="AN78" s="5">
        <v>6</v>
      </c>
      <c r="AO78" s="5">
        <v>4</v>
      </c>
      <c r="AP78" s="5">
        <v>4</v>
      </c>
      <c r="AQ78" s="5">
        <v>70</v>
      </c>
      <c r="AR78" s="5">
        <v>0</v>
      </c>
      <c r="AS78" s="5">
        <v>4</v>
      </c>
      <c r="AT78" s="5">
        <v>4</v>
      </c>
      <c r="AU78" s="5">
        <v>2</v>
      </c>
      <c r="AV78" s="5">
        <v>6000</v>
      </c>
      <c r="AW78" s="99">
        <f t="shared" si="0"/>
        <v>1.95</v>
      </c>
      <c r="AX78" s="90" t="str">
        <f t="shared" si="1"/>
        <v>MEDIUM</v>
      </c>
    </row>
    <row r="79" spans="1:50" x14ac:dyDescent="0.3">
      <c r="A79" s="5" t="s">
        <v>169</v>
      </c>
      <c r="B79" s="5" t="s">
        <v>2989</v>
      </c>
      <c r="C79" s="6">
        <v>46245</v>
      </c>
      <c r="D79" s="5">
        <v>47</v>
      </c>
      <c r="E79" s="5">
        <v>6</v>
      </c>
      <c r="F79" s="5">
        <v>120</v>
      </c>
      <c r="G79" s="5">
        <v>0</v>
      </c>
      <c r="H79" s="5">
        <v>0</v>
      </c>
      <c r="I79" s="5">
        <v>1</v>
      </c>
      <c r="J79" s="5">
        <v>95</v>
      </c>
      <c r="K79" s="5">
        <v>2</v>
      </c>
      <c r="L79" s="5">
        <v>1</v>
      </c>
      <c r="M79" s="5">
        <v>100</v>
      </c>
      <c r="N79" s="5">
        <v>1</v>
      </c>
      <c r="O79" s="5">
        <v>0</v>
      </c>
      <c r="P79" s="5">
        <v>5</v>
      </c>
      <c r="Q79" s="5">
        <v>5</v>
      </c>
      <c r="R79" s="5">
        <v>0</v>
      </c>
      <c r="S79" s="5">
        <v>5</v>
      </c>
      <c r="T79" s="5">
        <v>5</v>
      </c>
      <c r="U79" s="5">
        <v>0</v>
      </c>
      <c r="V79" s="5">
        <v>5</v>
      </c>
      <c r="W79" s="5">
        <v>5</v>
      </c>
      <c r="X79" s="5">
        <v>2</v>
      </c>
      <c r="Y79" s="5">
        <v>1</v>
      </c>
      <c r="Z79" s="5">
        <v>50</v>
      </c>
      <c r="AA79" s="5">
        <v>5</v>
      </c>
      <c r="AB79" s="5">
        <v>0</v>
      </c>
      <c r="AC79" s="5">
        <v>1</v>
      </c>
      <c r="AD79" s="5">
        <v>5</v>
      </c>
      <c r="AE79" s="5">
        <v>0</v>
      </c>
      <c r="AF79" s="5">
        <v>5</v>
      </c>
      <c r="AG79" s="5">
        <v>5</v>
      </c>
      <c r="AH79" s="5">
        <v>5</v>
      </c>
      <c r="AI79" s="5">
        <v>5</v>
      </c>
      <c r="AJ79" s="5">
        <v>5</v>
      </c>
      <c r="AK79" s="5">
        <v>8</v>
      </c>
      <c r="AL79" s="5">
        <v>98</v>
      </c>
      <c r="AM79" s="5">
        <v>5</v>
      </c>
      <c r="AN79" s="5">
        <v>1</v>
      </c>
      <c r="AO79" s="5">
        <v>5</v>
      </c>
      <c r="AP79" s="5">
        <v>5</v>
      </c>
      <c r="AQ79" s="5">
        <v>150</v>
      </c>
      <c r="AR79" s="5">
        <v>0</v>
      </c>
      <c r="AS79" s="5">
        <v>5</v>
      </c>
      <c r="AT79" s="5">
        <v>5</v>
      </c>
      <c r="AU79" s="5">
        <v>1</v>
      </c>
      <c r="AV79" s="5">
        <v>150</v>
      </c>
      <c r="AW79" s="99">
        <f t="shared" si="0"/>
        <v>1.01</v>
      </c>
      <c r="AX79" s="90" t="str">
        <f t="shared" si="1"/>
        <v>LOW</v>
      </c>
    </row>
    <row r="83" spans="1:7" ht="25.05" customHeight="1" x14ac:dyDescent="0.35">
      <c r="A83" s="188" t="s">
        <v>2990</v>
      </c>
      <c r="B83" s="174"/>
      <c r="C83" s="174"/>
      <c r="D83" s="174"/>
      <c r="E83" s="174"/>
      <c r="F83" s="174"/>
      <c r="G83" s="174"/>
    </row>
    <row r="85" spans="1:7" x14ac:dyDescent="0.3">
      <c r="A85" s="58" t="s">
        <v>2991</v>
      </c>
    </row>
    <row r="86" spans="1:7" x14ac:dyDescent="0.3">
      <c r="A86" t="s">
        <v>2992</v>
      </c>
    </row>
    <row r="87" spans="1:7" x14ac:dyDescent="0.3">
      <c r="A87" t="s">
        <v>2993</v>
      </c>
    </row>
    <row r="88" spans="1:7" x14ac:dyDescent="0.3">
      <c r="A88" t="s">
        <v>2994</v>
      </c>
    </row>
    <row r="90" spans="1:7" x14ac:dyDescent="0.3">
      <c r="A90" s="131" t="s">
        <v>2788</v>
      </c>
    </row>
    <row r="92" spans="1:7" x14ac:dyDescent="0.3">
      <c r="A92" t="s">
        <v>2995</v>
      </c>
    </row>
    <row r="94" spans="1:7" x14ac:dyDescent="0.3">
      <c r="A94" s="129" t="s">
        <v>2789</v>
      </c>
      <c r="B94" s="129" t="s">
        <v>2790</v>
      </c>
      <c r="C94" s="129" t="s">
        <v>2791</v>
      </c>
      <c r="D94" s="129" t="s">
        <v>2792</v>
      </c>
      <c r="E94" s="129" t="s">
        <v>2793</v>
      </c>
      <c r="F94" s="129" t="s">
        <v>2794</v>
      </c>
      <c r="G94" s="129" t="s">
        <v>2795</v>
      </c>
    </row>
    <row r="95" spans="1:7" x14ac:dyDescent="0.3">
      <c r="A95" s="81">
        <v>1</v>
      </c>
      <c r="B95" s="81" t="s">
        <v>2712</v>
      </c>
      <c r="C95" s="81">
        <v>12</v>
      </c>
      <c r="D95" s="81" t="s">
        <v>2796</v>
      </c>
      <c r="E95" s="91">
        <v>2</v>
      </c>
      <c r="F95" s="130">
        <v>0.04</v>
      </c>
      <c r="G95" s="98">
        <f t="shared" ref="G95:G138" si="2">E95*F95</f>
        <v>0.08</v>
      </c>
    </row>
    <row r="96" spans="1:7" x14ac:dyDescent="0.3">
      <c r="A96" s="5">
        <v>2</v>
      </c>
      <c r="B96" s="5" t="s">
        <v>2714</v>
      </c>
      <c r="C96" s="5">
        <v>320</v>
      </c>
      <c r="D96" s="5" t="s">
        <v>2797</v>
      </c>
      <c r="E96" s="90">
        <v>2</v>
      </c>
      <c r="F96" s="132">
        <v>0.03</v>
      </c>
      <c r="G96" s="97">
        <f t="shared" si="2"/>
        <v>0.06</v>
      </c>
    </row>
    <row r="97" spans="1:7" x14ac:dyDescent="0.3">
      <c r="A97" s="81">
        <v>3</v>
      </c>
      <c r="B97" s="81" t="s">
        <v>2715</v>
      </c>
      <c r="C97" s="81">
        <v>0</v>
      </c>
      <c r="D97" s="81" t="s">
        <v>2798</v>
      </c>
      <c r="E97" s="91">
        <v>1</v>
      </c>
      <c r="F97" s="130">
        <v>0.05</v>
      </c>
      <c r="G97" s="98">
        <f t="shared" si="2"/>
        <v>0.05</v>
      </c>
    </row>
    <row r="98" spans="1:7" x14ac:dyDescent="0.3">
      <c r="A98" s="5">
        <v>4</v>
      </c>
      <c r="B98" s="5" t="s">
        <v>2717</v>
      </c>
      <c r="C98" s="5">
        <v>0</v>
      </c>
      <c r="D98" s="5" t="s">
        <v>2799</v>
      </c>
      <c r="E98" s="90">
        <v>1</v>
      </c>
      <c r="F98" s="132">
        <v>0.04</v>
      </c>
      <c r="G98" s="97">
        <f t="shared" si="2"/>
        <v>0.04</v>
      </c>
    </row>
    <row r="99" spans="1:7" x14ac:dyDescent="0.3">
      <c r="A99" s="81">
        <v>5</v>
      </c>
      <c r="B99" s="81" t="s">
        <v>2822</v>
      </c>
      <c r="C99" s="81">
        <v>1</v>
      </c>
      <c r="D99" s="81" t="s">
        <v>3029</v>
      </c>
      <c r="E99" s="91">
        <v>1</v>
      </c>
      <c r="F99" s="130">
        <v>0.02</v>
      </c>
      <c r="G99" s="98">
        <f t="shared" si="2"/>
        <v>0.02</v>
      </c>
    </row>
    <row r="100" spans="1:7" x14ac:dyDescent="0.3">
      <c r="A100" s="5">
        <v>6</v>
      </c>
      <c r="B100" s="5" t="s">
        <v>2721</v>
      </c>
      <c r="C100" s="5">
        <v>85</v>
      </c>
      <c r="D100" s="5" t="s">
        <v>2800</v>
      </c>
      <c r="E100" s="90">
        <v>2</v>
      </c>
      <c r="F100" s="132">
        <v>6.8000000000000005E-2</v>
      </c>
      <c r="G100" s="97">
        <f t="shared" si="2"/>
        <v>0.13600000000000001</v>
      </c>
    </row>
    <row r="101" spans="1:7" x14ac:dyDescent="0.3">
      <c r="A101" s="81">
        <v>7</v>
      </c>
      <c r="B101" s="81" t="s">
        <v>2722</v>
      </c>
      <c r="C101" s="81">
        <v>3</v>
      </c>
      <c r="D101" s="81" t="s">
        <v>2801</v>
      </c>
      <c r="E101" s="91">
        <v>2</v>
      </c>
      <c r="F101" s="130">
        <v>0.03</v>
      </c>
      <c r="G101" s="98">
        <f t="shared" si="2"/>
        <v>0.06</v>
      </c>
    </row>
    <row r="102" spans="1:7" x14ac:dyDescent="0.3">
      <c r="A102" s="5">
        <v>8</v>
      </c>
      <c r="B102" s="5" t="s">
        <v>2723</v>
      </c>
      <c r="C102" s="5">
        <v>2</v>
      </c>
      <c r="D102" s="5" t="s">
        <v>2802</v>
      </c>
      <c r="E102" s="90">
        <v>1</v>
      </c>
      <c r="F102" s="132">
        <v>0.04</v>
      </c>
      <c r="G102" s="97">
        <f t="shared" si="2"/>
        <v>0.04</v>
      </c>
    </row>
    <row r="103" spans="1:7" x14ac:dyDescent="0.3">
      <c r="A103" s="81">
        <v>9</v>
      </c>
      <c r="B103" s="81" t="s">
        <v>2724</v>
      </c>
      <c r="C103" s="81">
        <v>100</v>
      </c>
      <c r="D103" s="81" t="s">
        <v>2803</v>
      </c>
      <c r="E103" s="91">
        <v>1</v>
      </c>
      <c r="F103" s="130">
        <v>0.02</v>
      </c>
      <c r="G103" s="98">
        <f t="shared" si="2"/>
        <v>0.02</v>
      </c>
    </row>
    <row r="104" spans="1:7" x14ac:dyDescent="0.3">
      <c r="A104" s="5">
        <v>10</v>
      </c>
      <c r="B104" s="5" t="s">
        <v>2725</v>
      </c>
      <c r="C104" s="5">
        <v>2</v>
      </c>
      <c r="D104" s="5" t="s">
        <v>2801</v>
      </c>
      <c r="E104" s="90">
        <v>1</v>
      </c>
      <c r="F104" s="132">
        <v>0.03</v>
      </c>
      <c r="G104" s="97">
        <f t="shared" si="2"/>
        <v>0.03</v>
      </c>
    </row>
    <row r="105" spans="1:7" x14ac:dyDescent="0.3">
      <c r="A105" s="81">
        <v>11</v>
      </c>
      <c r="B105" s="81" t="s">
        <v>3030</v>
      </c>
      <c r="C105" s="81">
        <v>0</v>
      </c>
      <c r="D105" s="81" t="s">
        <v>3031</v>
      </c>
      <c r="E105" s="91">
        <v>1</v>
      </c>
      <c r="F105" s="130">
        <v>0.02</v>
      </c>
      <c r="G105" s="98">
        <f t="shared" si="2"/>
        <v>0.02</v>
      </c>
    </row>
    <row r="106" spans="1:7" x14ac:dyDescent="0.3">
      <c r="A106" s="5">
        <v>12</v>
      </c>
      <c r="B106" s="5" t="s">
        <v>2996</v>
      </c>
      <c r="C106" s="5">
        <v>4</v>
      </c>
      <c r="D106" s="5" t="s">
        <v>3032</v>
      </c>
      <c r="E106" s="90">
        <v>2</v>
      </c>
      <c r="F106" s="132">
        <v>0.03</v>
      </c>
      <c r="G106" s="97">
        <f t="shared" si="2"/>
        <v>0.06</v>
      </c>
    </row>
    <row r="107" spans="1:7" x14ac:dyDescent="0.3">
      <c r="A107" s="81">
        <v>13</v>
      </c>
      <c r="B107" s="81" t="s">
        <v>2997</v>
      </c>
      <c r="C107" s="81">
        <v>4</v>
      </c>
      <c r="D107" s="81" t="s">
        <v>3033</v>
      </c>
      <c r="E107" s="91">
        <v>2</v>
      </c>
      <c r="F107" s="130">
        <v>0.02</v>
      </c>
      <c r="G107" s="98">
        <f t="shared" si="2"/>
        <v>0.04</v>
      </c>
    </row>
    <row r="108" spans="1:7" x14ac:dyDescent="0.3">
      <c r="A108" s="5">
        <v>14</v>
      </c>
      <c r="B108" s="5" t="s">
        <v>2855</v>
      </c>
      <c r="C108" s="5">
        <v>0</v>
      </c>
      <c r="D108" s="5" t="s">
        <v>2998</v>
      </c>
      <c r="E108" s="90">
        <v>1</v>
      </c>
      <c r="F108" s="132">
        <v>0.03</v>
      </c>
      <c r="G108" s="97">
        <f t="shared" si="2"/>
        <v>0.03</v>
      </c>
    </row>
    <row r="109" spans="1:7" x14ac:dyDescent="0.3">
      <c r="A109" s="81">
        <v>15</v>
      </c>
      <c r="B109" s="81" t="s">
        <v>2858</v>
      </c>
      <c r="C109" s="81">
        <v>4</v>
      </c>
      <c r="D109" s="81" t="s">
        <v>3034</v>
      </c>
      <c r="E109" s="91">
        <v>2</v>
      </c>
      <c r="F109" s="130">
        <v>0.03</v>
      </c>
      <c r="G109" s="98">
        <f t="shared" si="2"/>
        <v>0.06</v>
      </c>
    </row>
    <row r="110" spans="1:7" x14ac:dyDescent="0.3">
      <c r="A110" s="5">
        <v>16</v>
      </c>
      <c r="B110" s="5" t="s">
        <v>2863</v>
      </c>
      <c r="C110" s="5">
        <v>5</v>
      </c>
      <c r="D110" s="5" t="s">
        <v>3035</v>
      </c>
      <c r="E110" s="90">
        <v>1</v>
      </c>
      <c r="F110" s="132">
        <v>0.02</v>
      </c>
      <c r="G110" s="97">
        <f t="shared" si="2"/>
        <v>0.02</v>
      </c>
    </row>
    <row r="111" spans="1:7" x14ac:dyDescent="0.3">
      <c r="A111" s="81">
        <v>17</v>
      </c>
      <c r="B111" s="81" t="s">
        <v>3036</v>
      </c>
      <c r="C111" s="81">
        <v>0</v>
      </c>
      <c r="D111" s="81" t="s">
        <v>3037</v>
      </c>
      <c r="E111" s="91">
        <v>1</v>
      </c>
      <c r="F111" s="130">
        <v>1.4999999999999999E-2</v>
      </c>
      <c r="G111" s="98">
        <f t="shared" si="2"/>
        <v>1.4999999999999999E-2</v>
      </c>
    </row>
    <row r="112" spans="1:7" x14ac:dyDescent="0.3">
      <c r="A112" s="5">
        <v>18</v>
      </c>
      <c r="B112" s="5" t="s">
        <v>2872</v>
      </c>
      <c r="C112" s="5">
        <v>5</v>
      </c>
      <c r="D112" s="5" t="s">
        <v>3038</v>
      </c>
      <c r="E112" s="90">
        <v>1</v>
      </c>
      <c r="F112" s="132">
        <v>0.01</v>
      </c>
      <c r="G112" s="97">
        <f t="shared" si="2"/>
        <v>0.01</v>
      </c>
    </row>
    <row r="113" spans="1:7" x14ac:dyDescent="0.3">
      <c r="A113" s="81">
        <v>19</v>
      </c>
      <c r="B113" s="81" t="s">
        <v>2876</v>
      </c>
      <c r="C113" s="81">
        <v>5</v>
      </c>
      <c r="D113" s="81" t="s">
        <v>3038</v>
      </c>
      <c r="E113" s="91">
        <v>1</v>
      </c>
      <c r="F113" s="130">
        <v>1.4999999999999999E-2</v>
      </c>
      <c r="G113" s="98">
        <f t="shared" si="2"/>
        <v>1.4999999999999999E-2</v>
      </c>
    </row>
    <row r="114" spans="1:7" x14ac:dyDescent="0.3">
      <c r="A114" s="5">
        <v>20</v>
      </c>
      <c r="B114" s="5" t="s">
        <v>2999</v>
      </c>
      <c r="C114" s="5">
        <v>2</v>
      </c>
      <c r="D114" s="5" t="s">
        <v>2802</v>
      </c>
      <c r="E114" s="90">
        <v>1</v>
      </c>
      <c r="F114" s="132">
        <v>0.02</v>
      </c>
      <c r="G114" s="97">
        <f t="shared" si="2"/>
        <v>0.02</v>
      </c>
    </row>
    <row r="115" spans="1:7" x14ac:dyDescent="0.3">
      <c r="A115" s="81">
        <v>21</v>
      </c>
      <c r="B115" s="81" t="s">
        <v>3000</v>
      </c>
      <c r="C115" s="81">
        <v>2</v>
      </c>
      <c r="D115" s="81" t="s">
        <v>2804</v>
      </c>
      <c r="E115" s="91">
        <v>2</v>
      </c>
      <c r="F115" s="130">
        <v>0.03</v>
      </c>
      <c r="G115" s="98">
        <f t="shared" si="2"/>
        <v>0.06</v>
      </c>
    </row>
    <row r="116" spans="1:7" x14ac:dyDescent="0.3">
      <c r="A116" s="5">
        <v>22</v>
      </c>
      <c r="B116" s="5" t="s">
        <v>3001</v>
      </c>
      <c r="C116" s="5">
        <v>30</v>
      </c>
      <c r="D116" s="5" t="s">
        <v>3002</v>
      </c>
      <c r="E116" s="90">
        <v>1</v>
      </c>
      <c r="F116" s="132">
        <v>0.03</v>
      </c>
      <c r="G116" s="97">
        <f t="shared" si="2"/>
        <v>0.03</v>
      </c>
    </row>
    <row r="117" spans="1:7" x14ac:dyDescent="0.3">
      <c r="A117" s="81">
        <v>23</v>
      </c>
      <c r="B117" s="81" t="s">
        <v>3003</v>
      </c>
      <c r="C117" s="81">
        <v>5</v>
      </c>
      <c r="D117" s="81" t="s">
        <v>3039</v>
      </c>
      <c r="E117" s="91">
        <v>1</v>
      </c>
      <c r="F117" s="130">
        <v>0.03</v>
      </c>
      <c r="G117" s="98">
        <f t="shared" si="2"/>
        <v>0.03</v>
      </c>
    </row>
    <row r="118" spans="1:7" x14ac:dyDescent="0.3">
      <c r="A118" s="5">
        <v>24</v>
      </c>
      <c r="B118" s="5" t="s">
        <v>2888</v>
      </c>
      <c r="C118" s="5">
        <v>1</v>
      </c>
      <c r="D118" s="5" t="s">
        <v>2799</v>
      </c>
      <c r="E118" s="90">
        <v>2</v>
      </c>
      <c r="F118" s="132">
        <v>0.03</v>
      </c>
      <c r="G118" s="97">
        <f t="shared" si="2"/>
        <v>0.06</v>
      </c>
    </row>
    <row r="119" spans="1:7" x14ac:dyDescent="0.3">
      <c r="A119" s="81">
        <v>25</v>
      </c>
      <c r="B119" s="81" t="s">
        <v>3004</v>
      </c>
      <c r="C119" s="81">
        <v>2</v>
      </c>
      <c r="D119" s="81" t="s">
        <v>2804</v>
      </c>
      <c r="E119" s="91">
        <v>2</v>
      </c>
      <c r="F119" s="130">
        <v>0.03</v>
      </c>
      <c r="G119" s="98">
        <f t="shared" si="2"/>
        <v>0.06</v>
      </c>
    </row>
    <row r="120" spans="1:7" x14ac:dyDescent="0.3">
      <c r="A120" s="5">
        <v>26</v>
      </c>
      <c r="B120" s="5" t="s">
        <v>2738</v>
      </c>
      <c r="C120" s="5">
        <v>5</v>
      </c>
      <c r="D120" s="5" t="s">
        <v>3040</v>
      </c>
      <c r="E120" s="90">
        <v>1</v>
      </c>
      <c r="F120" s="132">
        <v>0.02</v>
      </c>
      <c r="G120" s="97">
        <f t="shared" si="2"/>
        <v>0.02</v>
      </c>
    </row>
    <row r="121" spans="1:7" x14ac:dyDescent="0.3">
      <c r="A121" s="81">
        <v>27</v>
      </c>
      <c r="B121" s="81" t="s">
        <v>3005</v>
      </c>
      <c r="C121" s="81">
        <v>0</v>
      </c>
      <c r="D121" s="81" t="s">
        <v>3006</v>
      </c>
      <c r="E121" s="91">
        <v>1</v>
      </c>
      <c r="F121" s="130">
        <v>0.02</v>
      </c>
      <c r="G121" s="98">
        <f t="shared" si="2"/>
        <v>0.02</v>
      </c>
    </row>
    <row r="122" spans="1:7" x14ac:dyDescent="0.3">
      <c r="A122" s="5">
        <v>28</v>
      </c>
      <c r="B122" s="5" t="s">
        <v>2898</v>
      </c>
      <c r="C122" s="5">
        <v>5</v>
      </c>
      <c r="D122" s="5" t="s">
        <v>3041</v>
      </c>
      <c r="E122" s="90">
        <v>1</v>
      </c>
      <c r="F122" s="132">
        <v>0.02</v>
      </c>
      <c r="G122" s="97">
        <f t="shared" si="2"/>
        <v>0.02</v>
      </c>
    </row>
    <row r="123" spans="1:7" x14ac:dyDescent="0.3">
      <c r="A123" s="81">
        <v>29</v>
      </c>
      <c r="B123" s="81" t="s">
        <v>3007</v>
      </c>
      <c r="C123" s="81">
        <v>4</v>
      </c>
      <c r="D123" s="81" t="s">
        <v>3038</v>
      </c>
      <c r="E123" s="91">
        <v>2</v>
      </c>
      <c r="F123" s="130">
        <v>0.02</v>
      </c>
      <c r="G123" s="98">
        <f t="shared" si="2"/>
        <v>0.04</v>
      </c>
    </row>
    <row r="124" spans="1:7" x14ac:dyDescent="0.3">
      <c r="A124" s="5">
        <v>30</v>
      </c>
      <c r="B124" s="5" t="s">
        <v>3008</v>
      </c>
      <c r="C124" s="5">
        <v>4</v>
      </c>
      <c r="D124" s="5" t="s">
        <v>3042</v>
      </c>
      <c r="E124" s="90">
        <v>2</v>
      </c>
      <c r="F124" s="132">
        <v>1.4999999999999999E-2</v>
      </c>
      <c r="G124" s="97">
        <f t="shared" si="2"/>
        <v>0.03</v>
      </c>
    </row>
    <row r="125" spans="1:7" x14ac:dyDescent="0.3">
      <c r="A125" s="81">
        <v>31</v>
      </c>
      <c r="B125" s="81" t="s">
        <v>3009</v>
      </c>
      <c r="C125" s="81">
        <v>4</v>
      </c>
      <c r="D125" s="81" t="s">
        <v>3043</v>
      </c>
      <c r="E125" s="91">
        <v>2</v>
      </c>
      <c r="F125" s="130">
        <v>1.4999999999999999E-2</v>
      </c>
      <c r="G125" s="98">
        <f t="shared" si="2"/>
        <v>0.03</v>
      </c>
    </row>
    <row r="126" spans="1:7" x14ac:dyDescent="0.3">
      <c r="A126" s="5">
        <v>32</v>
      </c>
      <c r="B126" s="5" t="s">
        <v>3010</v>
      </c>
      <c r="C126" s="5">
        <v>4</v>
      </c>
      <c r="D126" s="5" t="s">
        <v>3044</v>
      </c>
      <c r="E126" s="90">
        <v>2</v>
      </c>
      <c r="F126" s="132">
        <v>1.4999999999999999E-2</v>
      </c>
      <c r="G126" s="97">
        <f t="shared" si="2"/>
        <v>0.03</v>
      </c>
    </row>
    <row r="127" spans="1:7" x14ac:dyDescent="0.3">
      <c r="A127" s="81">
        <v>33</v>
      </c>
      <c r="B127" s="81" t="s">
        <v>3045</v>
      </c>
      <c r="C127" s="81">
        <v>15</v>
      </c>
      <c r="D127" s="81" t="s">
        <v>3011</v>
      </c>
      <c r="E127" s="91">
        <v>1</v>
      </c>
      <c r="F127" s="130">
        <v>0.02</v>
      </c>
      <c r="G127" s="98">
        <f t="shared" si="2"/>
        <v>0.02</v>
      </c>
    </row>
    <row r="128" spans="1:7" x14ac:dyDescent="0.3">
      <c r="A128" s="5">
        <v>34</v>
      </c>
      <c r="B128" s="5" t="s">
        <v>2975</v>
      </c>
      <c r="C128" s="5">
        <v>90</v>
      </c>
      <c r="D128" s="5" t="s">
        <v>3012</v>
      </c>
      <c r="E128" s="90">
        <v>1</v>
      </c>
      <c r="F128" s="132">
        <v>1.4999999999999999E-2</v>
      </c>
      <c r="G128" s="97">
        <f t="shared" si="2"/>
        <v>1.4999999999999999E-2</v>
      </c>
    </row>
    <row r="129" spans="1:7" x14ac:dyDescent="0.3">
      <c r="A129" s="81">
        <v>35</v>
      </c>
      <c r="B129" s="81" t="s">
        <v>3013</v>
      </c>
      <c r="C129" s="81">
        <v>5</v>
      </c>
      <c r="D129" s="81" t="s">
        <v>3034</v>
      </c>
      <c r="E129" s="91">
        <v>1</v>
      </c>
      <c r="F129" s="130">
        <v>0.02</v>
      </c>
      <c r="G129" s="98">
        <f t="shared" si="2"/>
        <v>0.02</v>
      </c>
    </row>
    <row r="130" spans="1:7" x14ac:dyDescent="0.3">
      <c r="A130" s="5">
        <v>36</v>
      </c>
      <c r="B130" s="5" t="s">
        <v>2926</v>
      </c>
      <c r="C130" s="5">
        <v>5</v>
      </c>
      <c r="D130" s="5" t="s">
        <v>3014</v>
      </c>
      <c r="E130" s="90">
        <v>2</v>
      </c>
      <c r="F130" s="132">
        <v>0.02</v>
      </c>
      <c r="G130" s="97">
        <f t="shared" si="2"/>
        <v>0.04</v>
      </c>
    </row>
    <row r="131" spans="1:7" x14ac:dyDescent="0.3">
      <c r="A131" s="81">
        <v>37</v>
      </c>
      <c r="B131" s="81" t="s">
        <v>3015</v>
      </c>
      <c r="C131" s="81">
        <v>5</v>
      </c>
      <c r="D131" s="81" t="s">
        <v>3046</v>
      </c>
      <c r="E131" s="91">
        <v>1</v>
      </c>
      <c r="F131" s="130">
        <v>0.01</v>
      </c>
      <c r="G131" s="98">
        <f t="shared" si="2"/>
        <v>0.01</v>
      </c>
    </row>
    <row r="132" spans="1:7" x14ac:dyDescent="0.3">
      <c r="A132" s="5">
        <v>38</v>
      </c>
      <c r="B132" s="5" t="s">
        <v>2936</v>
      </c>
      <c r="C132" s="5">
        <v>0</v>
      </c>
      <c r="D132" s="5" t="s">
        <v>3016</v>
      </c>
      <c r="E132" s="90">
        <v>1</v>
      </c>
      <c r="F132" s="132">
        <v>8.0000000000000002E-3</v>
      </c>
      <c r="G132" s="97">
        <f t="shared" si="2"/>
        <v>8.0000000000000002E-3</v>
      </c>
    </row>
    <row r="133" spans="1:7" x14ac:dyDescent="0.3">
      <c r="A133" s="81">
        <v>39</v>
      </c>
      <c r="B133" s="81" t="s">
        <v>2784</v>
      </c>
      <c r="C133" s="81">
        <v>90</v>
      </c>
      <c r="D133" s="81" t="s">
        <v>2807</v>
      </c>
      <c r="E133" s="91">
        <v>1</v>
      </c>
      <c r="F133" s="130">
        <v>8.0000000000000002E-3</v>
      </c>
      <c r="G133" s="98">
        <f t="shared" si="2"/>
        <v>8.0000000000000002E-3</v>
      </c>
    </row>
    <row r="134" spans="1:7" x14ac:dyDescent="0.3">
      <c r="A134" s="5">
        <v>40</v>
      </c>
      <c r="B134" s="5" t="s">
        <v>3017</v>
      </c>
      <c r="C134" s="5">
        <v>0</v>
      </c>
      <c r="D134" s="5" t="s">
        <v>2799</v>
      </c>
      <c r="E134" s="90">
        <v>1</v>
      </c>
      <c r="F134" s="132">
        <v>0.01</v>
      </c>
      <c r="G134" s="97">
        <f t="shared" si="2"/>
        <v>0.01</v>
      </c>
    </row>
    <row r="135" spans="1:7" x14ac:dyDescent="0.3">
      <c r="A135" s="81">
        <v>41</v>
      </c>
      <c r="B135" s="81" t="s">
        <v>3018</v>
      </c>
      <c r="C135" s="81">
        <v>5</v>
      </c>
      <c r="D135" s="81" t="s">
        <v>3038</v>
      </c>
      <c r="E135" s="91">
        <v>1</v>
      </c>
      <c r="F135" s="130">
        <v>8.0000000000000002E-3</v>
      </c>
      <c r="G135" s="98">
        <f t="shared" si="2"/>
        <v>8.0000000000000002E-3</v>
      </c>
    </row>
    <row r="136" spans="1:7" x14ac:dyDescent="0.3">
      <c r="A136" s="5">
        <v>42</v>
      </c>
      <c r="B136" s="5" t="s">
        <v>3019</v>
      </c>
      <c r="C136" s="5">
        <v>4</v>
      </c>
      <c r="D136" s="5" t="s">
        <v>3038</v>
      </c>
      <c r="E136" s="90">
        <v>2</v>
      </c>
      <c r="F136" s="132">
        <v>8.0000000000000002E-3</v>
      </c>
      <c r="G136" s="97">
        <f t="shared" si="2"/>
        <v>1.6E-2</v>
      </c>
    </row>
    <row r="137" spans="1:7" x14ac:dyDescent="0.3">
      <c r="A137" s="81">
        <v>43</v>
      </c>
      <c r="B137" s="81" t="s">
        <v>2949</v>
      </c>
      <c r="C137" s="81">
        <v>1</v>
      </c>
      <c r="D137" s="81" t="s">
        <v>3047</v>
      </c>
      <c r="E137" s="91">
        <v>1</v>
      </c>
      <c r="F137" s="130">
        <v>0.01</v>
      </c>
      <c r="G137" s="98">
        <f t="shared" si="2"/>
        <v>0.01</v>
      </c>
    </row>
    <row r="138" spans="1:7" x14ac:dyDescent="0.3">
      <c r="A138" s="5">
        <v>44</v>
      </c>
      <c r="B138" s="5" t="s">
        <v>2952</v>
      </c>
      <c r="C138" s="5">
        <v>500</v>
      </c>
      <c r="D138" s="5" t="s">
        <v>3020</v>
      </c>
      <c r="E138" s="90">
        <v>1</v>
      </c>
      <c r="F138" s="132">
        <v>0.01</v>
      </c>
      <c r="G138" s="97">
        <f t="shared" si="2"/>
        <v>0.01</v>
      </c>
    </row>
    <row r="139" spans="1:7" x14ac:dyDescent="0.3">
      <c r="A139" s="5"/>
      <c r="B139" s="5"/>
      <c r="C139" s="5"/>
      <c r="D139" s="5"/>
      <c r="E139" s="5"/>
      <c r="F139" s="5"/>
      <c r="G139" s="5"/>
    </row>
    <row r="140" spans="1:7" x14ac:dyDescent="0.3">
      <c r="A140" s="189" t="s">
        <v>2744</v>
      </c>
      <c r="B140" s="190"/>
      <c r="C140" s="190"/>
      <c r="D140" s="190"/>
      <c r="E140" s="134">
        <f>ROUND(AVERAGE(E95:E138),2)</f>
        <v>1.36</v>
      </c>
      <c r="F140" s="135">
        <f>SUM(F95:F138)</f>
        <v>1.0000000000000004</v>
      </c>
      <c r="G140" s="136">
        <f>ROUND(SUM(G95:G138),2)</f>
        <v>1.43</v>
      </c>
    </row>
    <row r="143" spans="1:7" x14ac:dyDescent="0.3">
      <c r="A143" s="187" t="s">
        <v>3021</v>
      </c>
      <c r="B143" s="174"/>
      <c r="C143" s="174"/>
      <c r="D143" s="174"/>
      <c r="E143" s="174"/>
      <c r="F143" s="174"/>
      <c r="G143" s="174"/>
    </row>
    <row r="145" spans="1:7" x14ac:dyDescent="0.3">
      <c r="A145" s="1" t="s">
        <v>3022</v>
      </c>
      <c r="B145" s="89">
        <f>G140</f>
        <v>1.43</v>
      </c>
      <c r="D145" s="1" t="s">
        <v>2809</v>
      </c>
      <c r="E145" t="str">
        <f>IF(G140&gt;=4,"SEVERE",IF(G140&gt;=3.5,"CRITICAL",IF(G140&gt;=2.5,"HIGH",IF(G140&gt;=1.5,"MEDIUM","LOW"))))</f>
        <v>LOW</v>
      </c>
    </row>
    <row r="147" spans="1:7" x14ac:dyDescent="0.3">
      <c r="A147" s="186" t="s">
        <v>3048</v>
      </c>
      <c r="B147" s="174"/>
      <c r="C147" s="174"/>
      <c r="D147" s="174"/>
      <c r="E147" s="174"/>
      <c r="F147" s="174"/>
      <c r="G147" s="174"/>
    </row>
  </sheetData>
  <mergeCells count="10">
    <mergeCell ref="A39:A40"/>
    <mergeCell ref="A41:A46"/>
    <mergeCell ref="A47:A48"/>
    <mergeCell ref="A50:C50"/>
    <mergeCell ref="A33:A38"/>
    <mergeCell ref="A147:G147"/>
    <mergeCell ref="A143:G143"/>
    <mergeCell ref="A66:AX66"/>
    <mergeCell ref="A83:G83"/>
    <mergeCell ref="A140:D140"/>
  </mergeCells>
  <conditionalFormatting sqref="AW68:AW79">
    <cfRule type="cellIs" dxfId="46" priority="26" operator="greaterThanOrEqual">
      <formula>4</formula>
    </cfRule>
    <cfRule type="cellIs" dxfId="45" priority="27" operator="between">
      <formula>3.5</formula>
      <formula>4</formula>
    </cfRule>
    <cfRule type="cellIs" dxfId="44" priority="28" operator="between">
      <formula>2.5</formula>
      <formula>3.5</formula>
    </cfRule>
    <cfRule type="cellIs" dxfId="43" priority="29" operator="between">
      <formula>1.5</formula>
      <formula>2.5</formula>
    </cfRule>
    <cfRule type="cellIs" dxfId="42" priority="30" operator="lessThan">
      <formula>1.5</formula>
    </cfRule>
  </conditionalFormatting>
  <conditionalFormatting sqref="AX68:AX79">
    <cfRule type="containsText" dxfId="41" priority="21" operator="containsText" text="LOW">
      <formula>NOT(ISERROR(SEARCH("LOW",AX68)))</formula>
    </cfRule>
    <cfRule type="containsText" dxfId="40" priority="22" operator="containsText" text="MEDIUM">
      <formula>NOT(ISERROR(SEARCH("MEDIUM",AX68)))</formula>
    </cfRule>
    <cfRule type="containsText" dxfId="39" priority="23" operator="containsText" text="HIGH">
      <formula>NOT(ISERROR(SEARCH("HIGH",AX68)))</formula>
    </cfRule>
    <cfRule type="containsText" dxfId="38" priority="24" operator="containsText" text="CRITICAL">
      <formula>NOT(ISERROR(SEARCH("CRITICAL",AX68)))</formula>
    </cfRule>
    <cfRule type="containsText" dxfId="37" priority="25" operator="containsText" text="SEVERE">
      <formula>NOT(ISERROR(SEARCH("SEVERE",AX68)))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158801-86FD-4AFD-8205-49D7E6C732DC}">
  <dimension ref="A1:T35"/>
  <sheetViews>
    <sheetView workbookViewId="0">
      <pane ySplit="4" topLeftCell="A5" activePane="bottomLeft" state="frozen"/>
      <selection pane="bottomLeft" activeCell="B16" sqref="B16"/>
    </sheetView>
  </sheetViews>
  <sheetFormatPr defaultRowHeight="14.4" x14ac:dyDescent="0.3"/>
  <cols>
    <col min="1" max="1" width="13" customWidth="1"/>
    <col min="2" max="2" width="14.77734375" customWidth="1"/>
    <col min="3" max="3" width="37" customWidth="1"/>
    <col min="4" max="4" width="16.6640625" customWidth="1"/>
    <col min="5" max="5" width="13" customWidth="1"/>
    <col min="6" max="6" width="18.5546875" customWidth="1"/>
    <col min="7" max="7" width="59.21875" customWidth="1"/>
    <col min="8" max="8" width="14.77734375" customWidth="1"/>
    <col min="9" max="9" width="11.109375" customWidth="1"/>
    <col min="10" max="10" width="14.77734375" customWidth="1"/>
    <col min="11" max="11" width="20.33203125" customWidth="1"/>
    <col min="12" max="12" width="51.88671875" customWidth="1"/>
    <col min="13" max="13" width="20.33203125" customWidth="1"/>
    <col min="14" max="14" width="16.6640625" customWidth="1"/>
    <col min="15" max="15" width="37" customWidth="1"/>
    <col min="16" max="16" width="18.5546875" customWidth="1"/>
    <col min="17" max="17" width="14.77734375" customWidth="1"/>
    <col min="18" max="18" width="18.5546875" customWidth="1"/>
    <col min="19" max="19" width="29.6640625" customWidth="1"/>
  </cols>
  <sheetData>
    <row r="1" spans="1:20" ht="21" x14ac:dyDescent="0.4">
      <c r="A1" s="203" t="s">
        <v>2328</v>
      </c>
      <c r="B1" s="183"/>
      <c r="C1" s="183"/>
      <c r="D1" s="183"/>
      <c r="E1" s="183"/>
      <c r="F1" s="183"/>
      <c r="G1" s="183"/>
      <c r="H1" s="183"/>
      <c r="I1" s="183"/>
      <c r="J1" s="183"/>
      <c r="K1" s="183"/>
      <c r="L1" s="183"/>
      <c r="M1" s="183"/>
      <c r="N1" s="183"/>
      <c r="O1" s="183"/>
      <c r="P1" s="183"/>
    </row>
    <row r="2" spans="1:20" x14ac:dyDescent="0.3">
      <c r="A2" s="204" t="s">
        <v>2329</v>
      </c>
      <c r="B2" s="204"/>
      <c r="C2" s="204"/>
      <c r="D2" s="204"/>
      <c r="E2" s="204"/>
      <c r="F2" s="204"/>
      <c r="G2" s="204"/>
      <c r="H2" s="204"/>
      <c r="I2" s="204"/>
      <c r="J2" s="204"/>
      <c r="K2" s="204"/>
      <c r="L2" s="204"/>
      <c r="M2" s="204"/>
      <c r="N2" s="204"/>
      <c r="O2" s="204"/>
      <c r="P2" s="204"/>
    </row>
    <row r="4" spans="1:20" ht="25.05" customHeight="1" x14ac:dyDescent="0.3">
      <c r="A4" s="2" t="s">
        <v>2330</v>
      </c>
      <c r="B4" s="2" t="s">
        <v>103</v>
      </c>
      <c r="C4" s="2" t="s">
        <v>104</v>
      </c>
      <c r="D4" s="2" t="s">
        <v>2331</v>
      </c>
      <c r="E4" s="2" t="s">
        <v>2332</v>
      </c>
      <c r="F4" s="2" t="s">
        <v>2333</v>
      </c>
      <c r="G4" s="2" t="s">
        <v>2334</v>
      </c>
      <c r="H4" s="2" t="s">
        <v>2335</v>
      </c>
      <c r="I4" s="2" t="s">
        <v>106</v>
      </c>
      <c r="J4" s="2" t="s">
        <v>2336</v>
      </c>
      <c r="K4" s="2" t="s">
        <v>2337</v>
      </c>
      <c r="L4" s="2" t="s">
        <v>2338</v>
      </c>
      <c r="M4" s="2" t="s">
        <v>2339</v>
      </c>
      <c r="N4" s="2" t="s">
        <v>112</v>
      </c>
      <c r="O4" s="2" t="s">
        <v>114</v>
      </c>
      <c r="P4" s="75" t="s">
        <v>2701</v>
      </c>
      <c r="Q4" s="205" t="s">
        <v>2510</v>
      </c>
      <c r="R4" s="205"/>
      <c r="S4" s="205"/>
      <c r="T4" s="205"/>
    </row>
    <row r="5" spans="1:20" ht="28.8" x14ac:dyDescent="0.3">
      <c r="A5" t="s">
        <v>2340</v>
      </c>
      <c r="B5" t="s">
        <v>115</v>
      </c>
      <c r="C5" t="s">
        <v>116</v>
      </c>
      <c r="D5" s="3">
        <v>46203</v>
      </c>
      <c r="E5">
        <f t="shared" ref="E5:E35" si="0">D5-46202</f>
        <v>1</v>
      </c>
      <c r="F5" t="s">
        <v>2341</v>
      </c>
      <c r="G5" s="68" t="s">
        <v>2342</v>
      </c>
      <c r="H5">
        <v>4</v>
      </c>
      <c r="I5">
        <v>3</v>
      </c>
      <c r="J5">
        <f t="shared" ref="J5:J35" si="1">H5*I5</f>
        <v>12</v>
      </c>
      <c r="K5" t="s">
        <v>2343</v>
      </c>
      <c r="L5" s="68" t="s">
        <v>2344</v>
      </c>
      <c r="M5" t="s">
        <v>1057</v>
      </c>
      <c r="N5" t="s">
        <v>2345</v>
      </c>
      <c r="O5" s="68" t="s">
        <v>2346</v>
      </c>
      <c r="P5" t="s">
        <v>1109</v>
      </c>
    </row>
    <row r="6" spans="1:20" x14ac:dyDescent="0.3">
      <c r="A6" t="s">
        <v>2347</v>
      </c>
      <c r="B6" t="s">
        <v>115</v>
      </c>
      <c r="C6" t="s">
        <v>116</v>
      </c>
      <c r="D6" s="3">
        <v>46203</v>
      </c>
      <c r="E6">
        <f t="shared" si="0"/>
        <v>1</v>
      </c>
      <c r="F6" t="s">
        <v>2348</v>
      </c>
      <c r="G6" s="68" t="s">
        <v>2349</v>
      </c>
      <c r="H6">
        <v>5</v>
      </c>
      <c r="I6">
        <v>2</v>
      </c>
      <c r="J6">
        <f t="shared" si="1"/>
        <v>10</v>
      </c>
      <c r="K6" t="s">
        <v>2350</v>
      </c>
      <c r="L6" s="68" t="s">
        <v>2351</v>
      </c>
      <c r="M6" t="s">
        <v>1057</v>
      </c>
      <c r="N6" t="s">
        <v>2352</v>
      </c>
      <c r="O6" s="68" t="s">
        <v>2353</v>
      </c>
      <c r="P6" t="s">
        <v>1109</v>
      </c>
      <c r="Q6" s="1" t="s">
        <v>2511</v>
      </c>
    </row>
    <row r="7" spans="1:20" x14ac:dyDescent="0.3">
      <c r="A7" t="s">
        <v>2354</v>
      </c>
      <c r="B7" t="s">
        <v>132</v>
      </c>
      <c r="C7" t="s">
        <v>133</v>
      </c>
      <c r="D7" s="3">
        <v>46205</v>
      </c>
      <c r="E7">
        <f t="shared" si="0"/>
        <v>3</v>
      </c>
      <c r="F7" t="s">
        <v>2355</v>
      </c>
      <c r="G7" s="68" t="s">
        <v>2356</v>
      </c>
      <c r="H7">
        <v>2</v>
      </c>
      <c r="I7">
        <v>2</v>
      </c>
      <c r="J7">
        <f t="shared" si="1"/>
        <v>4</v>
      </c>
      <c r="K7" t="s">
        <v>2357</v>
      </c>
      <c r="L7" s="68" t="s">
        <v>2358</v>
      </c>
      <c r="M7" t="s">
        <v>622</v>
      </c>
      <c r="N7" t="s">
        <v>2359</v>
      </c>
      <c r="O7" s="68" t="s">
        <v>2360</v>
      </c>
      <c r="P7" t="s">
        <v>1056</v>
      </c>
      <c r="Q7">
        <v>1</v>
      </c>
      <c r="R7" t="s">
        <v>2512</v>
      </c>
      <c r="S7" t="s">
        <v>2513</v>
      </c>
    </row>
    <row r="8" spans="1:20" x14ac:dyDescent="0.3">
      <c r="A8" t="s">
        <v>2361</v>
      </c>
      <c r="B8" t="s">
        <v>132</v>
      </c>
      <c r="C8" t="s">
        <v>133</v>
      </c>
      <c r="D8" s="3">
        <v>46205</v>
      </c>
      <c r="E8">
        <f t="shared" si="0"/>
        <v>3</v>
      </c>
      <c r="F8" t="s">
        <v>2362</v>
      </c>
      <c r="G8" s="68" t="s">
        <v>2363</v>
      </c>
      <c r="H8">
        <v>3</v>
      </c>
      <c r="I8">
        <v>2</v>
      </c>
      <c r="J8">
        <f t="shared" si="1"/>
        <v>6</v>
      </c>
      <c r="K8" t="s">
        <v>2364</v>
      </c>
      <c r="L8" s="68" t="s">
        <v>2365</v>
      </c>
      <c r="M8" t="s">
        <v>2366</v>
      </c>
      <c r="N8" t="s">
        <v>2345</v>
      </c>
      <c r="O8" s="68" t="s">
        <v>2367</v>
      </c>
      <c r="P8" t="s">
        <v>1148</v>
      </c>
      <c r="Q8">
        <v>2</v>
      </c>
      <c r="R8" t="s">
        <v>2514</v>
      </c>
      <c r="S8" t="s">
        <v>2515</v>
      </c>
    </row>
    <row r="9" spans="1:20" x14ac:dyDescent="0.3">
      <c r="A9" t="s">
        <v>2368</v>
      </c>
      <c r="B9" t="s">
        <v>125</v>
      </c>
      <c r="C9" t="s">
        <v>126</v>
      </c>
      <c r="D9" s="3">
        <v>46207</v>
      </c>
      <c r="E9">
        <f t="shared" si="0"/>
        <v>5</v>
      </c>
      <c r="F9" t="s">
        <v>2369</v>
      </c>
      <c r="G9" s="68" t="s">
        <v>2370</v>
      </c>
      <c r="H9">
        <v>4</v>
      </c>
      <c r="I9">
        <v>4</v>
      </c>
      <c r="J9">
        <f t="shared" si="1"/>
        <v>16</v>
      </c>
      <c r="K9" t="s">
        <v>514</v>
      </c>
      <c r="L9" s="68" t="s">
        <v>2371</v>
      </c>
      <c r="M9" t="s">
        <v>2372</v>
      </c>
      <c r="N9" t="s">
        <v>2312</v>
      </c>
      <c r="O9" s="68" t="s">
        <v>2373</v>
      </c>
      <c r="P9" t="s">
        <v>1109</v>
      </c>
      <c r="Q9">
        <v>3</v>
      </c>
      <c r="R9" t="s">
        <v>2516</v>
      </c>
      <c r="S9" t="s">
        <v>2517</v>
      </c>
    </row>
    <row r="10" spans="1:20" x14ac:dyDescent="0.3">
      <c r="A10" t="s">
        <v>2374</v>
      </c>
      <c r="B10" t="s">
        <v>125</v>
      </c>
      <c r="C10" t="s">
        <v>126</v>
      </c>
      <c r="D10" s="3">
        <v>46207</v>
      </c>
      <c r="E10">
        <f t="shared" si="0"/>
        <v>5</v>
      </c>
      <c r="F10" t="s">
        <v>2343</v>
      </c>
      <c r="G10" s="68" t="s">
        <v>2375</v>
      </c>
      <c r="H10">
        <v>3</v>
      </c>
      <c r="I10">
        <v>4</v>
      </c>
      <c r="J10">
        <f t="shared" si="1"/>
        <v>12</v>
      </c>
      <c r="K10" t="s">
        <v>2376</v>
      </c>
      <c r="L10" s="68" t="s">
        <v>2377</v>
      </c>
      <c r="M10" t="s">
        <v>982</v>
      </c>
      <c r="N10" t="s">
        <v>2352</v>
      </c>
      <c r="O10" s="68" t="s">
        <v>2378</v>
      </c>
      <c r="P10" t="s">
        <v>1109</v>
      </c>
      <c r="Q10">
        <v>4</v>
      </c>
      <c r="R10" t="s">
        <v>2518</v>
      </c>
      <c r="S10" t="s">
        <v>2519</v>
      </c>
    </row>
    <row r="11" spans="1:20" x14ac:dyDescent="0.3">
      <c r="A11" t="s">
        <v>2379</v>
      </c>
      <c r="B11" t="s">
        <v>125</v>
      </c>
      <c r="C11" t="s">
        <v>126</v>
      </c>
      <c r="D11" s="3">
        <v>46207</v>
      </c>
      <c r="E11">
        <f t="shared" si="0"/>
        <v>5</v>
      </c>
      <c r="F11" t="s">
        <v>2341</v>
      </c>
      <c r="G11" s="68" t="s">
        <v>2380</v>
      </c>
      <c r="H11">
        <v>3</v>
      </c>
      <c r="I11">
        <v>3</v>
      </c>
      <c r="J11">
        <f t="shared" si="1"/>
        <v>9</v>
      </c>
      <c r="K11" t="s">
        <v>2381</v>
      </c>
      <c r="L11" s="68" t="s">
        <v>2382</v>
      </c>
      <c r="M11" t="s">
        <v>1211</v>
      </c>
      <c r="N11" t="s">
        <v>2359</v>
      </c>
      <c r="O11" s="68" t="s">
        <v>2383</v>
      </c>
      <c r="P11" t="s">
        <v>1109</v>
      </c>
      <c r="Q11">
        <v>5</v>
      </c>
      <c r="R11" t="s">
        <v>2520</v>
      </c>
      <c r="S11" t="s">
        <v>2521</v>
      </c>
    </row>
    <row r="12" spans="1:20" x14ac:dyDescent="0.3">
      <c r="A12" t="s">
        <v>2384</v>
      </c>
      <c r="B12" t="s">
        <v>150</v>
      </c>
      <c r="C12" t="s">
        <v>151</v>
      </c>
      <c r="D12" s="3">
        <v>46207</v>
      </c>
      <c r="E12">
        <f t="shared" si="0"/>
        <v>5</v>
      </c>
      <c r="F12" t="s">
        <v>2385</v>
      </c>
      <c r="G12" s="68" t="s">
        <v>2386</v>
      </c>
      <c r="H12">
        <v>3</v>
      </c>
      <c r="I12">
        <v>5</v>
      </c>
      <c r="J12">
        <f t="shared" si="1"/>
        <v>15</v>
      </c>
      <c r="K12" t="s">
        <v>2387</v>
      </c>
      <c r="L12" s="68" t="s">
        <v>2388</v>
      </c>
      <c r="M12" t="s">
        <v>2389</v>
      </c>
      <c r="N12" t="s">
        <v>2312</v>
      </c>
      <c r="O12" s="68" t="s">
        <v>2390</v>
      </c>
      <c r="P12" t="s">
        <v>1109</v>
      </c>
    </row>
    <row r="13" spans="1:20" x14ac:dyDescent="0.3">
      <c r="A13" t="s">
        <v>2391</v>
      </c>
      <c r="B13" t="s">
        <v>150</v>
      </c>
      <c r="C13" t="s">
        <v>151</v>
      </c>
      <c r="D13" s="3">
        <v>46207</v>
      </c>
      <c r="E13">
        <f t="shared" si="0"/>
        <v>5</v>
      </c>
      <c r="F13" t="s">
        <v>2355</v>
      </c>
      <c r="G13" s="68" t="s">
        <v>2392</v>
      </c>
      <c r="H13">
        <v>3</v>
      </c>
      <c r="I13">
        <v>3</v>
      </c>
      <c r="J13">
        <f t="shared" si="1"/>
        <v>9</v>
      </c>
      <c r="K13" t="s">
        <v>2393</v>
      </c>
      <c r="L13" s="68" t="s">
        <v>2394</v>
      </c>
      <c r="M13" t="s">
        <v>622</v>
      </c>
      <c r="N13" t="s">
        <v>2352</v>
      </c>
      <c r="O13" s="68" t="s">
        <v>2395</v>
      </c>
      <c r="P13" t="s">
        <v>1056</v>
      </c>
      <c r="Q13" s="1" t="s">
        <v>2522</v>
      </c>
    </row>
    <row r="14" spans="1:20" x14ac:dyDescent="0.3">
      <c r="A14" t="s">
        <v>2396</v>
      </c>
      <c r="B14" t="s">
        <v>169</v>
      </c>
      <c r="C14" t="s">
        <v>170</v>
      </c>
      <c r="D14" s="3">
        <v>46209</v>
      </c>
      <c r="E14">
        <f t="shared" si="0"/>
        <v>7</v>
      </c>
      <c r="F14" t="s">
        <v>2397</v>
      </c>
      <c r="G14" s="68" t="s">
        <v>2398</v>
      </c>
      <c r="H14">
        <v>4</v>
      </c>
      <c r="I14">
        <v>2</v>
      </c>
      <c r="J14">
        <f t="shared" si="1"/>
        <v>8</v>
      </c>
      <c r="K14" t="s">
        <v>2397</v>
      </c>
      <c r="L14" s="68" t="s">
        <v>2399</v>
      </c>
      <c r="M14" t="s">
        <v>2400</v>
      </c>
      <c r="N14" t="s">
        <v>2352</v>
      </c>
      <c r="O14" s="68" t="s">
        <v>2401</v>
      </c>
      <c r="P14" t="s">
        <v>1109</v>
      </c>
      <c r="Q14">
        <v>1</v>
      </c>
      <c r="R14" t="s">
        <v>2523</v>
      </c>
      <c r="S14" t="s">
        <v>2524</v>
      </c>
    </row>
    <row r="15" spans="1:20" x14ac:dyDescent="0.3">
      <c r="A15" t="s">
        <v>2402</v>
      </c>
      <c r="B15" t="s">
        <v>169</v>
      </c>
      <c r="C15" t="s">
        <v>170</v>
      </c>
      <c r="D15" s="3">
        <v>46209</v>
      </c>
      <c r="E15">
        <f t="shared" si="0"/>
        <v>7</v>
      </c>
      <c r="F15" t="s">
        <v>487</v>
      </c>
      <c r="G15" s="68" t="s">
        <v>2403</v>
      </c>
      <c r="H15">
        <v>2</v>
      </c>
      <c r="I15">
        <v>3</v>
      </c>
      <c r="J15">
        <f t="shared" si="1"/>
        <v>6</v>
      </c>
      <c r="K15" t="s">
        <v>2348</v>
      </c>
      <c r="L15" s="68" t="s">
        <v>2404</v>
      </c>
      <c r="M15" t="s">
        <v>2405</v>
      </c>
      <c r="N15" t="s">
        <v>2345</v>
      </c>
      <c r="O15" s="68" t="s">
        <v>2406</v>
      </c>
      <c r="P15" t="s">
        <v>1109</v>
      </c>
      <c r="Q15">
        <v>2</v>
      </c>
      <c r="R15" t="s">
        <v>2525</v>
      </c>
      <c r="S15" t="s">
        <v>2526</v>
      </c>
    </row>
    <row r="16" spans="1:20" x14ac:dyDescent="0.3">
      <c r="A16" t="s">
        <v>2407</v>
      </c>
      <c r="B16" t="s">
        <v>136</v>
      </c>
      <c r="C16" t="s">
        <v>137</v>
      </c>
      <c r="D16" s="3">
        <v>46215</v>
      </c>
      <c r="E16">
        <f t="shared" si="0"/>
        <v>13</v>
      </c>
      <c r="F16" t="s">
        <v>2408</v>
      </c>
      <c r="G16" s="68" t="s">
        <v>2409</v>
      </c>
      <c r="H16">
        <v>5</v>
      </c>
      <c r="I16">
        <v>4</v>
      </c>
      <c r="J16">
        <f t="shared" si="1"/>
        <v>20</v>
      </c>
      <c r="K16" t="s">
        <v>487</v>
      </c>
      <c r="L16" s="68" t="s">
        <v>2410</v>
      </c>
      <c r="M16" t="s">
        <v>2411</v>
      </c>
      <c r="N16" t="s">
        <v>2293</v>
      </c>
      <c r="O16" s="68" t="s">
        <v>2412</v>
      </c>
      <c r="P16" t="s">
        <v>1109</v>
      </c>
      <c r="Q16">
        <v>3</v>
      </c>
      <c r="R16" t="s">
        <v>2527</v>
      </c>
      <c r="S16" t="s">
        <v>2528</v>
      </c>
    </row>
    <row r="17" spans="1:19" x14ac:dyDescent="0.3">
      <c r="A17" t="s">
        <v>2413</v>
      </c>
      <c r="B17" t="s">
        <v>136</v>
      </c>
      <c r="C17" t="s">
        <v>137</v>
      </c>
      <c r="D17" s="3">
        <v>46215</v>
      </c>
      <c r="E17">
        <f t="shared" si="0"/>
        <v>13</v>
      </c>
      <c r="F17" t="s">
        <v>2408</v>
      </c>
      <c r="G17" s="68" t="s">
        <v>2414</v>
      </c>
      <c r="H17">
        <v>3</v>
      </c>
      <c r="I17">
        <v>3</v>
      </c>
      <c r="J17">
        <f t="shared" si="1"/>
        <v>9</v>
      </c>
      <c r="K17" t="s">
        <v>2295</v>
      </c>
      <c r="L17" s="68" t="s">
        <v>2415</v>
      </c>
      <c r="M17" t="s">
        <v>2416</v>
      </c>
      <c r="N17" t="s">
        <v>2300</v>
      </c>
      <c r="O17" s="68" t="s">
        <v>2417</v>
      </c>
      <c r="P17" t="s">
        <v>1109</v>
      </c>
      <c r="Q17">
        <v>4</v>
      </c>
      <c r="R17" t="s">
        <v>2529</v>
      </c>
      <c r="S17" t="s">
        <v>2530</v>
      </c>
    </row>
    <row r="18" spans="1:19" x14ac:dyDescent="0.3">
      <c r="A18" t="s">
        <v>2418</v>
      </c>
      <c r="B18" t="s">
        <v>136</v>
      </c>
      <c r="C18" t="s">
        <v>137</v>
      </c>
      <c r="D18" s="3">
        <v>46215</v>
      </c>
      <c r="E18">
        <f t="shared" si="0"/>
        <v>13</v>
      </c>
      <c r="F18" t="s">
        <v>2355</v>
      </c>
      <c r="G18" s="68" t="s">
        <v>2419</v>
      </c>
      <c r="H18">
        <v>3</v>
      </c>
      <c r="I18">
        <v>4</v>
      </c>
      <c r="J18">
        <f t="shared" si="1"/>
        <v>12</v>
      </c>
      <c r="K18" t="s">
        <v>2393</v>
      </c>
      <c r="L18" s="68" t="s">
        <v>2420</v>
      </c>
      <c r="M18" t="s">
        <v>2421</v>
      </c>
      <c r="N18" t="s">
        <v>2352</v>
      </c>
      <c r="O18" s="68" t="s">
        <v>2422</v>
      </c>
      <c r="P18" t="s">
        <v>1109</v>
      </c>
      <c r="Q18">
        <v>5</v>
      </c>
      <c r="R18" t="s">
        <v>2531</v>
      </c>
      <c r="S18" t="s">
        <v>2532</v>
      </c>
    </row>
    <row r="19" spans="1:19" x14ac:dyDescent="0.3">
      <c r="A19" t="s">
        <v>2423</v>
      </c>
      <c r="B19" t="s">
        <v>136</v>
      </c>
      <c r="C19" t="s">
        <v>137</v>
      </c>
      <c r="D19" s="3">
        <v>46215</v>
      </c>
      <c r="E19">
        <f t="shared" si="0"/>
        <v>13</v>
      </c>
      <c r="F19" t="s">
        <v>2341</v>
      </c>
      <c r="G19" s="68" t="s">
        <v>2424</v>
      </c>
      <c r="H19">
        <v>4</v>
      </c>
      <c r="I19">
        <v>3</v>
      </c>
      <c r="J19">
        <f t="shared" si="1"/>
        <v>12</v>
      </c>
      <c r="K19" t="s">
        <v>2425</v>
      </c>
      <c r="L19" s="68" t="s">
        <v>2426</v>
      </c>
      <c r="M19" t="s">
        <v>2427</v>
      </c>
      <c r="N19" t="s">
        <v>2359</v>
      </c>
      <c r="O19" s="68" t="s">
        <v>2428</v>
      </c>
      <c r="P19" t="s">
        <v>1109</v>
      </c>
    </row>
    <row r="20" spans="1:19" x14ac:dyDescent="0.3">
      <c r="A20" t="s">
        <v>2429</v>
      </c>
      <c r="B20" t="s">
        <v>136</v>
      </c>
      <c r="C20" t="s">
        <v>137</v>
      </c>
      <c r="D20" s="3">
        <v>46215</v>
      </c>
      <c r="E20">
        <f t="shared" si="0"/>
        <v>13</v>
      </c>
      <c r="F20" t="s">
        <v>2430</v>
      </c>
      <c r="G20" s="68" t="s">
        <v>2431</v>
      </c>
      <c r="H20">
        <v>3</v>
      </c>
      <c r="I20">
        <v>2</v>
      </c>
      <c r="J20">
        <f t="shared" si="1"/>
        <v>6</v>
      </c>
      <c r="K20" t="s">
        <v>2432</v>
      </c>
      <c r="L20" s="68" t="s">
        <v>2433</v>
      </c>
      <c r="M20" t="s">
        <v>2434</v>
      </c>
      <c r="N20" t="s">
        <v>2352</v>
      </c>
      <c r="O20" s="68" t="s">
        <v>2435</v>
      </c>
      <c r="P20" t="s">
        <v>1109</v>
      </c>
      <c r="Q20" s="1" t="s">
        <v>2533</v>
      </c>
    </row>
    <row r="21" spans="1:19" ht="28.8" x14ac:dyDescent="0.3">
      <c r="A21" t="s">
        <v>2436</v>
      </c>
      <c r="B21" t="s">
        <v>140</v>
      </c>
      <c r="C21" t="s">
        <v>141</v>
      </c>
      <c r="D21" s="3">
        <v>46219</v>
      </c>
      <c r="E21">
        <f t="shared" si="0"/>
        <v>17</v>
      </c>
      <c r="F21" t="s">
        <v>12</v>
      </c>
      <c r="G21" s="68" t="s">
        <v>2437</v>
      </c>
      <c r="H21">
        <v>2</v>
      </c>
      <c r="I21">
        <v>5</v>
      </c>
      <c r="J21">
        <f t="shared" si="1"/>
        <v>10</v>
      </c>
      <c r="K21" t="s">
        <v>12</v>
      </c>
      <c r="L21" s="68" t="s">
        <v>2438</v>
      </c>
      <c r="M21" t="s">
        <v>2439</v>
      </c>
      <c r="N21" t="s">
        <v>2312</v>
      </c>
      <c r="O21" s="68" t="s">
        <v>2440</v>
      </c>
      <c r="P21" t="s">
        <v>1109</v>
      </c>
      <c r="Q21" s="70">
        <v>46027</v>
      </c>
      <c r="R21" t="s">
        <v>118</v>
      </c>
      <c r="S21" t="s">
        <v>2534</v>
      </c>
    </row>
    <row r="22" spans="1:19" x14ac:dyDescent="0.3">
      <c r="A22" t="s">
        <v>2441</v>
      </c>
      <c r="B22" t="s">
        <v>140</v>
      </c>
      <c r="C22" t="s">
        <v>141</v>
      </c>
      <c r="D22" s="3">
        <v>46219</v>
      </c>
      <c r="E22">
        <f t="shared" si="0"/>
        <v>17</v>
      </c>
      <c r="F22" t="s">
        <v>2369</v>
      </c>
      <c r="G22" s="68" t="s">
        <v>2442</v>
      </c>
      <c r="H22">
        <v>3</v>
      </c>
      <c r="I22">
        <v>4</v>
      </c>
      <c r="J22">
        <f t="shared" si="1"/>
        <v>12</v>
      </c>
      <c r="K22" t="s">
        <v>2350</v>
      </c>
      <c r="L22" s="68" t="s">
        <v>2443</v>
      </c>
      <c r="M22" t="s">
        <v>2444</v>
      </c>
      <c r="N22" t="s">
        <v>2352</v>
      </c>
      <c r="O22" s="68" t="s">
        <v>2445</v>
      </c>
      <c r="P22" t="s">
        <v>1109</v>
      </c>
      <c r="Q22" s="71">
        <v>46184</v>
      </c>
      <c r="R22" t="s">
        <v>127</v>
      </c>
      <c r="S22" t="s">
        <v>2535</v>
      </c>
    </row>
    <row r="23" spans="1:19" ht="28.8" x14ac:dyDescent="0.3">
      <c r="A23" t="s">
        <v>2446</v>
      </c>
      <c r="B23" t="s">
        <v>140</v>
      </c>
      <c r="C23" t="s">
        <v>141</v>
      </c>
      <c r="D23" s="3">
        <v>46219</v>
      </c>
      <c r="E23">
        <f t="shared" si="0"/>
        <v>17</v>
      </c>
      <c r="F23" t="s">
        <v>2343</v>
      </c>
      <c r="G23" s="68" t="s">
        <v>2447</v>
      </c>
      <c r="H23">
        <v>4</v>
      </c>
      <c r="I23">
        <v>3</v>
      </c>
      <c r="J23">
        <f t="shared" si="1"/>
        <v>12</v>
      </c>
      <c r="K23" t="s">
        <v>2376</v>
      </c>
      <c r="L23" s="68" t="s">
        <v>2448</v>
      </c>
      <c r="M23" t="s">
        <v>982</v>
      </c>
      <c r="N23" t="s">
        <v>2359</v>
      </c>
      <c r="O23" s="68" t="s">
        <v>2449</v>
      </c>
      <c r="P23" t="s">
        <v>1109</v>
      </c>
      <c r="Q23" s="72">
        <v>46375</v>
      </c>
      <c r="R23" t="s">
        <v>128</v>
      </c>
      <c r="S23" t="s">
        <v>2536</v>
      </c>
    </row>
    <row r="24" spans="1:19" x14ac:dyDescent="0.3">
      <c r="A24" t="s">
        <v>2450</v>
      </c>
      <c r="B24" t="s">
        <v>161</v>
      </c>
      <c r="C24" t="s">
        <v>162</v>
      </c>
      <c r="D24" s="3">
        <v>46221</v>
      </c>
      <c r="E24">
        <f t="shared" si="0"/>
        <v>19</v>
      </c>
      <c r="F24" t="s">
        <v>2408</v>
      </c>
      <c r="G24" s="68" t="s">
        <v>2451</v>
      </c>
      <c r="H24">
        <v>5</v>
      </c>
      <c r="I24">
        <v>5</v>
      </c>
      <c r="J24">
        <f t="shared" si="1"/>
        <v>25</v>
      </c>
      <c r="K24" t="s">
        <v>1113</v>
      </c>
      <c r="L24" s="68" t="s">
        <v>2452</v>
      </c>
      <c r="M24" t="s">
        <v>2453</v>
      </c>
      <c r="N24" t="s">
        <v>2312</v>
      </c>
      <c r="O24" s="68" t="s">
        <v>2454</v>
      </c>
      <c r="P24" t="s">
        <v>1070</v>
      </c>
      <c r="Q24" s="73" t="s">
        <v>2537</v>
      </c>
      <c r="R24" t="s">
        <v>2171</v>
      </c>
      <c r="S24" t="s">
        <v>2538</v>
      </c>
    </row>
    <row r="25" spans="1:19" x14ac:dyDescent="0.3">
      <c r="A25" t="s">
        <v>2455</v>
      </c>
      <c r="B25" t="s">
        <v>161</v>
      </c>
      <c r="C25" t="s">
        <v>162</v>
      </c>
      <c r="D25" s="3">
        <v>46221</v>
      </c>
      <c r="E25">
        <f t="shared" si="0"/>
        <v>19</v>
      </c>
      <c r="F25" t="s">
        <v>2408</v>
      </c>
      <c r="G25" s="68" t="s">
        <v>2456</v>
      </c>
      <c r="H25">
        <v>4</v>
      </c>
      <c r="I25">
        <v>4</v>
      </c>
      <c r="J25">
        <f t="shared" si="1"/>
        <v>16</v>
      </c>
      <c r="K25" t="s">
        <v>2343</v>
      </c>
      <c r="L25" s="68" t="s">
        <v>2457</v>
      </c>
      <c r="M25" t="s">
        <v>2416</v>
      </c>
      <c r="N25" t="s">
        <v>2293</v>
      </c>
      <c r="O25" s="68" t="s">
        <v>2458</v>
      </c>
      <c r="P25" t="s">
        <v>1109</v>
      </c>
    </row>
    <row r="26" spans="1:19" ht="15.6" x14ac:dyDescent="0.3">
      <c r="A26" t="s">
        <v>2459</v>
      </c>
      <c r="B26" t="s">
        <v>161</v>
      </c>
      <c r="C26" t="s">
        <v>162</v>
      </c>
      <c r="D26" s="3">
        <v>46221</v>
      </c>
      <c r="E26">
        <f t="shared" si="0"/>
        <v>19</v>
      </c>
      <c r="F26" t="s">
        <v>2408</v>
      </c>
      <c r="G26" s="68" t="s">
        <v>2460</v>
      </c>
      <c r="H26">
        <v>3</v>
      </c>
      <c r="I26">
        <v>3</v>
      </c>
      <c r="J26">
        <f t="shared" si="1"/>
        <v>9</v>
      </c>
      <c r="K26" t="s">
        <v>514</v>
      </c>
      <c r="L26" s="68" t="s">
        <v>2461</v>
      </c>
      <c r="M26" t="s">
        <v>2372</v>
      </c>
      <c r="N26" t="s">
        <v>2300</v>
      </c>
      <c r="O26" s="68" t="s">
        <v>2462</v>
      </c>
      <c r="P26" t="s">
        <v>1109</v>
      </c>
      <c r="Q26" s="205" t="s">
        <v>2539</v>
      </c>
      <c r="R26" s="185"/>
      <c r="S26" s="185"/>
    </row>
    <row r="27" spans="1:19" x14ac:dyDescent="0.3">
      <c r="A27" t="s">
        <v>2463</v>
      </c>
      <c r="B27" t="s">
        <v>161</v>
      </c>
      <c r="C27" t="s">
        <v>162</v>
      </c>
      <c r="D27" s="3">
        <v>46221</v>
      </c>
      <c r="E27">
        <f t="shared" si="0"/>
        <v>19</v>
      </c>
      <c r="F27" t="s">
        <v>2464</v>
      </c>
      <c r="G27" s="68" t="s">
        <v>2465</v>
      </c>
      <c r="H27">
        <v>2</v>
      </c>
      <c r="I27">
        <v>5</v>
      </c>
      <c r="J27">
        <f t="shared" si="1"/>
        <v>10</v>
      </c>
      <c r="K27" t="s">
        <v>1074</v>
      </c>
      <c r="L27" s="68" t="s">
        <v>2466</v>
      </c>
      <c r="M27" t="s">
        <v>2467</v>
      </c>
      <c r="N27" t="s">
        <v>2345</v>
      </c>
      <c r="O27" s="68" t="s">
        <v>2468</v>
      </c>
      <c r="P27" t="s">
        <v>1109</v>
      </c>
      <c r="Q27" t="s">
        <v>2540</v>
      </c>
      <c r="R27" s="74">
        <f>COUNTA(A5:A35)</f>
        <v>31</v>
      </c>
    </row>
    <row r="28" spans="1:19" x14ac:dyDescent="0.3">
      <c r="A28" t="s">
        <v>2469</v>
      </c>
      <c r="B28" t="s">
        <v>161</v>
      </c>
      <c r="C28" t="s">
        <v>162</v>
      </c>
      <c r="D28" s="3">
        <v>46221</v>
      </c>
      <c r="E28">
        <f t="shared" si="0"/>
        <v>19</v>
      </c>
      <c r="F28" t="s">
        <v>2470</v>
      </c>
      <c r="G28" s="68" t="s">
        <v>2471</v>
      </c>
      <c r="H28">
        <v>3</v>
      </c>
      <c r="I28">
        <v>3</v>
      </c>
      <c r="J28">
        <f t="shared" si="1"/>
        <v>9</v>
      </c>
      <c r="K28" t="s">
        <v>2432</v>
      </c>
      <c r="L28" s="68" t="s">
        <v>2472</v>
      </c>
      <c r="M28" t="s">
        <v>2473</v>
      </c>
      <c r="N28" t="s">
        <v>2352</v>
      </c>
      <c r="O28" s="68" t="s">
        <v>2474</v>
      </c>
      <c r="P28" t="s">
        <v>1109</v>
      </c>
      <c r="Q28" t="s">
        <v>2541</v>
      </c>
      <c r="R28" s="74">
        <f>COUNTIF(J5:J35,"&gt;=20")</f>
        <v>2</v>
      </c>
    </row>
    <row r="29" spans="1:19" x14ac:dyDescent="0.3">
      <c r="A29" t="s">
        <v>2475</v>
      </c>
      <c r="B29" t="s">
        <v>161</v>
      </c>
      <c r="C29" t="s">
        <v>162</v>
      </c>
      <c r="D29" s="3">
        <v>46221</v>
      </c>
      <c r="E29">
        <f t="shared" si="0"/>
        <v>19</v>
      </c>
      <c r="F29" t="s">
        <v>2476</v>
      </c>
      <c r="G29" s="68" t="s">
        <v>2477</v>
      </c>
      <c r="H29">
        <v>2</v>
      </c>
      <c r="I29">
        <v>5</v>
      </c>
      <c r="J29">
        <f t="shared" si="1"/>
        <v>10</v>
      </c>
      <c r="K29" t="s">
        <v>2478</v>
      </c>
      <c r="L29" s="68" t="s">
        <v>2479</v>
      </c>
      <c r="M29" t="s">
        <v>2411</v>
      </c>
      <c r="N29" t="s">
        <v>2293</v>
      </c>
      <c r="O29" s="68" t="s">
        <v>2480</v>
      </c>
      <c r="P29" t="s">
        <v>1109</v>
      </c>
      <c r="Q29" t="s">
        <v>2542</v>
      </c>
      <c r="R29" s="74">
        <f>COUNTIFS(J5:J35,"&gt;=12",J5:J35,"&lt;20")</f>
        <v>11</v>
      </c>
    </row>
    <row r="30" spans="1:19" x14ac:dyDescent="0.3">
      <c r="A30" t="s">
        <v>2481</v>
      </c>
      <c r="B30" t="s">
        <v>146</v>
      </c>
      <c r="C30" t="s">
        <v>147</v>
      </c>
      <c r="D30" s="3">
        <v>46223</v>
      </c>
      <c r="E30">
        <f t="shared" si="0"/>
        <v>21</v>
      </c>
      <c r="F30" t="s">
        <v>2341</v>
      </c>
      <c r="G30" s="68" t="s">
        <v>2482</v>
      </c>
      <c r="H30">
        <v>4</v>
      </c>
      <c r="I30">
        <v>3</v>
      </c>
      <c r="J30">
        <f t="shared" si="1"/>
        <v>12</v>
      </c>
      <c r="K30" t="s">
        <v>2425</v>
      </c>
      <c r="L30" s="68" t="s">
        <v>2483</v>
      </c>
      <c r="M30" t="s">
        <v>1166</v>
      </c>
      <c r="N30" t="s">
        <v>2352</v>
      </c>
      <c r="O30" s="68" t="s">
        <v>2484</v>
      </c>
      <c r="P30" t="s">
        <v>1109</v>
      </c>
      <c r="Q30" t="s">
        <v>2543</v>
      </c>
      <c r="R30" s="74">
        <f>COUNTIFS(J5:J35,"&gt;=6",J5:J35,"&lt;12")</f>
        <v>15</v>
      </c>
    </row>
    <row r="31" spans="1:19" x14ac:dyDescent="0.3">
      <c r="A31" t="s">
        <v>2485</v>
      </c>
      <c r="B31" t="s">
        <v>146</v>
      </c>
      <c r="C31" t="s">
        <v>147</v>
      </c>
      <c r="D31" s="3">
        <v>46223</v>
      </c>
      <c r="E31">
        <f t="shared" si="0"/>
        <v>21</v>
      </c>
      <c r="F31" t="s">
        <v>2385</v>
      </c>
      <c r="G31" s="68" t="s">
        <v>2486</v>
      </c>
      <c r="H31">
        <v>2</v>
      </c>
      <c r="I31">
        <v>4</v>
      </c>
      <c r="J31">
        <f t="shared" si="1"/>
        <v>8</v>
      </c>
      <c r="K31" t="s">
        <v>2487</v>
      </c>
      <c r="L31" s="68" t="s">
        <v>2488</v>
      </c>
      <c r="M31" t="s">
        <v>2385</v>
      </c>
      <c r="N31" t="s">
        <v>2345</v>
      </c>
      <c r="O31" s="68" t="s">
        <v>2489</v>
      </c>
      <c r="P31" t="s">
        <v>1109</v>
      </c>
      <c r="Q31" t="s">
        <v>2544</v>
      </c>
      <c r="R31" s="74">
        <f>COUNTIF(J5:J35,"&lt;=5")</f>
        <v>3</v>
      </c>
    </row>
    <row r="32" spans="1:19" x14ac:dyDescent="0.3">
      <c r="A32" t="s">
        <v>2490</v>
      </c>
      <c r="B32" t="s">
        <v>153</v>
      </c>
      <c r="C32" t="s">
        <v>154</v>
      </c>
      <c r="D32" s="3">
        <v>46234</v>
      </c>
      <c r="E32">
        <f t="shared" si="0"/>
        <v>32</v>
      </c>
      <c r="F32" t="s">
        <v>2362</v>
      </c>
      <c r="G32" s="68" t="s">
        <v>2491</v>
      </c>
      <c r="H32">
        <v>2</v>
      </c>
      <c r="I32">
        <v>2</v>
      </c>
      <c r="J32">
        <f t="shared" si="1"/>
        <v>4</v>
      </c>
      <c r="K32" t="s">
        <v>2348</v>
      </c>
      <c r="L32" s="68" t="s">
        <v>2492</v>
      </c>
      <c r="M32" t="s">
        <v>2366</v>
      </c>
      <c r="N32" t="s">
        <v>2345</v>
      </c>
      <c r="O32" s="68" t="s">
        <v>2493</v>
      </c>
      <c r="P32" t="s">
        <v>1148</v>
      </c>
      <c r="R32" s="74"/>
    </row>
    <row r="33" spans="1:18" x14ac:dyDescent="0.3">
      <c r="A33" t="s">
        <v>2494</v>
      </c>
      <c r="B33" t="s">
        <v>157</v>
      </c>
      <c r="C33" t="s">
        <v>158</v>
      </c>
      <c r="D33" s="3">
        <v>46238</v>
      </c>
      <c r="E33">
        <f t="shared" si="0"/>
        <v>36</v>
      </c>
      <c r="F33" t="s">
        <v>2355</v>
      </c>
      <c r="G33" s="68" t="s">
        <v>2495</v>
      </c>
      <c r="H33">
        <v>3</v>
      </c>
      <c r="I33">
        <v>4</v>
      </c>
      <c r="J33">
        <f t="shared" si="1"/>
        <v>12</v>
      </c>
      <c r="K33" t="s">
        <v>514</v>
      </c>
      <c r="L33" s="68" t="s">
        <v>2496</v>
      </c>
      <c r="M33" t="s">
        <v>2497</v>
      </c>
      <c r="N33" t="s">
        <v>2352</v>
      </c>
      <c r="O33" s="68" t="s">
        <v>2498</v>
      </c>
      <c r="P33" t="s">
        <v>1109</v>
      </c>
      <c r="Q33" t="s">
        <v>2545</v>
      </c>
      <c r="R33" s="74">
        <f>COUNTIF(F5:F35,"Drift")</f>
        <v>5</v>
      </c>
    </row>
    <row r="34" spans="1:18" x14ac:dyDescent="0.3">
      <c r="A34" t="s">
        <v>2499</v>
      </c>
      <c r="B34" t="s">
        <v>157</v>
      </c>
      <c r="C34" t="s">
        <v>158</v>
      </c>
      <c r="D34" s="3">
        <v>46238</v>
      </c>
      <c r="E34">
        <f t="shared" si="0"/>
        <v>36</v>
      </c>
      <c r="F34" t="s">
        <v>2348</v>
      </c>
      <c r="G34" s="68" t="s">
        <v>2500</v>
      </c>
      <c r="H34">
        <v>3</v>
      </c>
      <c r="I34">
        <v>3</v>
      </c>
      <c r="J34">
        <f t="shared" si="1"/>
        <v>9</v>
      </c>
      <c r="K34" t="s">
        <v>2341</v>
      </c>
      <c r="L34" s="68" t="s">
        <v>2501</v>
      </c>
      <c r="M34" t="s">
        <v>2502</v>
      </c>
      <c r="N34" t="s">
        <v>2345</v>
      </c>
      <c r="O34" s="68" t="s">
        <v>2503</v>
      </c>
      <c r="P34" t="s">
        <v>1109</v>
      </c>
      <c r="Q34" t="s">
        <v>2546</v>
      </c>
      <c r="R34" s="74">
        <f>COUNTIF(N5:N35,"Escalated")</f>
        <v>4</v>
      </c>
    </row>
    <row r="35" spans="1:18" x14ac:dyDescent="0.3">
      <c r="A35" t="s">
        <v>2504</v>
      </c>
      <c r="B35" t="s">
        <v>165</v>
      </c>
      <c r="C35" t="s">
        <v>166</v>
      </c>
      <c r="D35" s="3">
        <v>46246</v>
      </c>
      <c r="E35">
        <f t="shared" si="0"/>
        <v>44</v>
      </c>
      <c r="F35" t="s">
        <v>2302</v>
      </c>
      <c r="G35" s="68" t="s">
        <v>2505</v>
      </c>
      <c r="H35">
        <v>2</v>
      </c>
      <c r="I35">
        <v>2</v>
      </c>
      <c r="J35">
        <f t="shared" si="1"/>
        <v>4</v>
      </c>
      <c r="K35" t="s">
        <v>2506</v>
      </c>
      <c r="L35" s="68" t="s">
        <v>2507</v>
      </c>
      <c r="M35" t="s">
        <v>2508</v>
      </c>
      <c r="N35" t="s">
        <v>2359</v>
      </c>
      <c r="O35" s="68" t="s">
        <v>2509</v>
      </c>
      <c r="P35" t="s">
        <v>1109</v>
      </c>
      <c r="Q35" t="s">
        <v>2547</v>
      </c>
      <c r="R35" s="74">
        <f>COUNTIF(N5:N35,"Open")</f>
        <v>2</v>
      </c>
    </row>
  </sheetData>
  <mergeCells count="4">
    <mergeCell ref="A1:P1"/>
    <mergeCell ref="A2:P2"/>
    <mergeCell ref="Q4:T4"/>
    <mergeCell ref="Q26:S26"/>
  </mergeCells>
  <conditionalFormatting sqref="F5:F35">
    <cfRule type="containsText" dxfId="36" priority="11" operator="containsText" text="Drift">
      <formula>NOT(ISERROR(SEARCH("Drift",F5)))</formula>
    </cfRule>
  </conditionalFormatting>
  <conditionalFormatting sqref="J5:J35">
    <cfRule type="cellIs" dxfId="35" priority="1" operator="between">
      <formula>20</formula>
      <formula>25</formula>
    </cfRule>
    <cfRule type="cellIs" dxfId="34" priority="2" operator="between">
      <formula>12</formula>
      <formula>19</formula>
    </cfRule>
    <cfRule type="cellIs" dxfId="33" priority="3" operator="between">
      <formula>6</formula>
      <formula>11</formula>
    </cfRule>
    <cfRule type="cellIs" dxfId="32" priority="4" operator="between">
      <formula>1</formula>
      <formula>5</formula>
    </cfRule>
  </conditionalFormatting>
  <conditionalFormatting sqref="N5:N35">
    <cfRule type="containsText" dxfId="31" priority="5" operator="containsText" text="Escalated">
      <formula>NOT(ISERROR(SEARCH("Escalated",N5)))</formula>
    </cfRule>
    <cfRule type="containsText" dxfId="30" priority="6" operator="containsText" text="Open">
      <formula>NOT(ISERROR(SEARCH("Open",N5)))</formula>
    </cfRule>
    <cfRule type="containsText" dxfId="29" priority="7" operator="containsText" text="In Progress">
      <formula>NOT(ISERROR(SEARCH("In Progress",N5)))</formula>
    </cfRule>
    <cfRule type="containsText" dxfId="28" priority="8" operator="containsText" text="Mitigating">
      <formula>NOT(ISERROR(SEARCH("Mitigating",N5)))</formula>
    </cfRule>
    <cfRule type="containsText" dxfId="27" priority="9" operator="containsText" text="Monitoring">
      <formula>NOT(ISERROR(SEARCH("Monitoring",N5)))</formula>
    </cfRule>
    <cfRule type="containsText" dxfId="26" priority="10" operator="containsText" text="Accepted">
      <formula>NOT(ISERROR(SEARCH("Accepted",N5)))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DA8137-84A3-47C4-A685-553698133E1D}">
  <dimension ref="A1:N11"/>
  <sheetViews>
    <sheetView workbookViewId="0">
      <pane ySplit="4" topLeftCell="A5" activePane="bottomLeft" state="frozen"/>
      <selection pane="bottomLeft" activeCell="H3" sqref="H3"/>
    </sheetView>
  </sheetViews>
  <sheetFormatPr defaultRowHeight="14.4" x14ac:dyDescent="0.3"/>
  <cols>
    <col min="1" max="1" width="13" customWidth="1"/>
    <col min="2" max="2" width="14.77734375" customWidth="1"/>
    <col min="3" max="3" width="37" customWidth="1"/>
    <col min="4" max="4" width="29.6640625" customWidth="1"/>
    <col min="5" max="5" width="14.77734375" customWidth="1"/>
    <col min="6" max="6" width="18.5546875" customWidth="1"/>
    <col min="7" max="7" width="22.21875" customWidth="1"/>
    <col min="8" max="8" width="18.5546875" customWidth="1"/>
    <col min="9" max="9" width="13" customWidth="1"/>
    <col min="10" max="10" width="64.77734375" customWidth="1"/>
    <col min="11" max="11" width="55.5546875" customWidth="1"/>
    <col min="12" max="12" width="51.88671875" customWidth="1"/>
    <col min="13" max="14" width="16.6640625" customWidth="1"/>
  </cols>
  <sheetData>
    <row r="1" spans="1:14" ht="21" x14ac:dyDescent="0.4">
      <c r="A1" s="203" t="s">
        <v>2278</v>
      </c>
      <c r="B1" s="183"/>
      <c r="C1" s="183"/>
      <c r="D1" s="183"/>
      <c r="E1" s="183"/>
      <c r="F1" s="183"/>
      <c r="G1" s="183"/>
      <c r="H1" s="183"/>
      <c r="I1" s="183"/>
      <c r="J1" s="183"/>
      <c r="K1" s="183"/>
    </row>
    <row r="2" spans="1:14" x14ac:dyDescent="0.3">
      <c r="A2" s="204" t="s">
        <v>2279</v>
      </c>
      <c r="B2" s="204"/>
      <c r="C2" s="204"/>
      <c r="D2" s="204"/>
      <c r="E2" s="204"/>
      <c r="F2" s="204"/>
      <c r="G2" s="204"/>
      <c r="H2" s="204"/>
      <c r="I2" s="204"/>
      <c r="J2" s="204"/>
      <c r="K2" s="204"/>
    </row>
    <row r="4" spans="1:14" ht="25.05" customHeight="1" x14ac:dyDescent="0.3">
      <c r="A4" s="2" t="s">
        <v>2280</v>
      </c>
      <c r="B4" s="2" t="s">
        <v>103</v>
      </c>
      <c r="C4" s="2" t="s">
        <v>104</v>
      </c>
      <c r="D4" s="2" t="s">
        <v>2</v>
      </c>
      <c r="E4" s="2" t="s">
        <v>487</v>
      </c>
      <c r="F4" s="2" t="s">
        <v>2281</v>
      </c>
      <c r="G4" s="2" t="s">
        <v>2282</v>
      </c>
      <c r="H4" s="2" t="s">
        <v>2283</v>
      </c>
      <c r="I4" s="2" t="s">
        <v>2284</v>
      </c>
      <c r="J4" s="2" t="s">
        <v>1919</v>
      </c>
      <c r="K4" s="2" t="s">
        <v>2285</v>
      </c>
      <c r="L4" s="2" t="s">
        <v>2286</v>
      </c>
      <c r="M4" s="2" t="s">
        <v>112</v>
      </c>
      <c r="N4" s="2" t="s">
        <v>2287</v>
      </c>
    </row>
    <row r="5" spans="1:14" ht="28.8" x14ac:dyDescent="0.3">
      <c r="A5" t="s">
        <v>2288</v>
      </c>
      <c r="B5" t="s">
        <v>136</v>
      </c>
      <c r="C5" t="s">
        <v>137</v>
      </c>
      <c r="D5" t="s">
        <v>56</v>
      </c>
      <c r="E5" t="s">
        <v>29</v>
      </c>
      <c r="F5" t="s">
        <v>1113</v>
      </c>
      <c r="G5" t="s">
        <v>2289</v>
      </c>
      <c r="H5" s="3">
        <v>46200</v>
      </c>
      <c r="I5" t="s">
        <v>128</v>
      </c>
      <c r="J5" s="68" t="s">
        <v>2290</v>
      </c>
      <c r="K5" s="68" t="s">
        <v>2291</v>
      </c>
      <c r="L5" s="68" t="s">
        <v>2292</v>
      </c>
      <c r="M5" t="s">
        <v>2293</v>
      </c>
      <c r="N5" s="3">
        <v>46210</v>
      </c>
    </row>
    <row r="6" spans="1:14" ht="28.8" x14ac:dyDescent="0.3">
      <c r="A6" t="s">
        <v>2294</v>
      </c>
      <c r="B6" t="s">
        <v>136</v>
      </c>
      <c r="C6" t="s">
        <v>137</v>
      </c>
      <c r="D6" t="s">
        <v>56</v>
      </c>
      <c r="E6" t="s">
        <v>30</v>
      </c>
      <c r="F6" t="s">
        <v>2295</v>
      </c>
      <c r="G6" t="s">
        <v>2296</v>
      </c>
      <c r="H6" s="3">
        <v>46201</v>
      </c>
      <c r="I6" t="s">
        <v>127</v>
      </c>
      <c r="J6" s="68" t="s">
        <v>2297</v>
      </c>
      <c r="K6" s="68" t="s">
        <v>2298</v>
      </c>
      <c r="L6" s="68" t="s">
        <v>2299</v>
      </c>
      <c r="M6" t="s">
        <v>2300</v>
      </c>
      <c r="N6" s="3">
        <v>46208</v>
      </c>
    </row>
    <row r="7" spans="1:14" ht="28.8" x14ac:dyDescent="0.3">
      <c r="A7" t="s">
        <v>2301</v>
      </c>
      <c r="B7" t="s">
        <v>136</v>
      </c>
      <c r="C7" t="s">
        <v>137</v>
      </c>
      <c r="D7" t="s">
        <v>56</v>
      </c>
      <c r="E7" t="s">
        <v>28</v>
      </c>
      <c r="F7" t="s">
        <v>2302</v>
      </c>
      <c r="G7" t="s">
        <v>2303</v>
      </c>
      <c r="H7" s="3">
        <v>46198</v>
      </c>
      <c r="I7" t="s">
        <v>118</v>
      </c>
      <c r="J7" s="68" t="s">
        <v>2304</v>
      </c>
      <c r="K7" s="68" t="s">
        <v>2305</v>
      </c>
      <c r="L7" s="68" t="s">
        <v>2306</v>
      </c>
      <c r="M7" t="s">
        <v>122</v>
      </c>
      <c r="N7" s="3">
        <v>46206</v>
      </c>
    </row>
    <row r="8" spans="1:14" ht="28.8" x14ac:dyDescent="0.3">
      <c r="A8" t="s">
        <v>2307</v>
      </c>
      <c r="B8" t="s">
        <v>161</v>
      </c>
      <c r="C8" t="s">
        <v>162</v>
      </c>
      <c r="D8" t="s">
        <v>36</v>
      </c>
      <c r="E8" t="s">
        <v>30</v>
      </c>
      <c r="F8" t="s">
        <v>1113</v>
      </c>
      <c r="G8" t="s">
        <v>2308</v>
      </c>
      <c r="H8" s="3">
        <v>46199</v>
      </c>
      <c r="I8" t="s">
        <v>2171</v>
      </c>
      <c r="J8" s="68" t="s">
        <v>2309</v>
      </c>
      <c r="K8" s="68" t="s">
        <v>2310</v>
      </c>
      <c r="L8" s="68" t="s">
        <v>2311</v>
      </c>
      <c r="M8" t="s">
        <v>2312</v>
      </c>
      <c r="N8" s="3">
        <v>46212</v>
      </c>
    </row>
    <row r="9" spans="1:14" ht="28.8" x14ac:dyDescent="0.3">
      <c r="A9" t="s">
        <v>2313</v>
      </c>
      <c r="B9" t="s">
        <v>161</v>
      </c>
      <c r="C9" t="s">
        <v>162</v>
      </c>
      <c r="D9" t="s">
        <v>36</v>
      </c>
      <c r="E9" t="s">
        <v>29</v>
      </c>
      <c r="F9" t="s">
        <v>2295</v>
      </c>
      <c r="G9" t="s">
        <v>2314</v>
      </c>
      <c r="H9" s="3">
        <v>46200</v>
      </c>
      <c r="I9" t="s">
        <v>128</v>
      </c>
      <c r="J9" s="68" t="s">
        <v>2315</v>
      </c>
      <c r="K9" s="68" t="s">
        <v>2316</v>
      </c>
      <c r="L9" s="68" t="s">
        <v>2317</v>
      </c>
      <c r="M9" t="s">
        <v>2293</v>
      </c>
      <c r="N9" s="3">
        <v>46207</v>
      </c>
    </row>
    <row r="10" spans="1:14" ht="28.8" x14ac:dyDescent="0.3">
      <c r="A10" t="s">
        <v>2318</v>
      </c>
      <c r="B10" t="s">
        <v>161</v>
      </c>
      <c r="C10" t="s">
        <v>162</v>
      </c>
      <c r="D10" t="s">
        <v>36</v>
      </c>
      <c r="E10" t="s">
        <v>29</v>
      </c>
      <c r="F10" t="s">
        <v>514</v>
      </c>
      <c r="G10" t="s">
        <v>2319</v>
      </c>
      <c r="H10" s="3">
        <v>46201</v>
      </c>
      <c r="I10" t="s">
        <v>127</v>
      </c>
      <c r="J10" s="68" t="s">
        <v>2320</v>
      </c>
      <c r="K10" s="68" t="s">
        <v>2321</v>
      </c>
      <c r="L10" s="68" t="s">
        <v>2322</v>
      </c>
      <c r="M10" t="s">
        <v>2300</v>
      </c>
      <c r="N10" s="3">
        <v>46209</v>
      </c>
    </row>
    <row r="11" spans="1:14" ht="28.8" x14ac:dyDescent="0.3">
      <c r="A11" t="s">
        <v>2323</v>
      </c>
      <c r="B11" t="s">
        <v>161</v>
      </c>
      <c r="C11" t="s">
        <v>162</v>
      </c>
      <c r="D11" t="s">
        <v>36</v>
      </c>
      <c r="E11" t="s">
        <v>28</v>
      </c>
      <c r="F11" t="s">
        <v>12</v>
      </c>
      <c r="G11" t="s">
        <v>2324</v>
      </c>
      <c r="H11" s="3">
        <v>46195</v>
      </c>
      <c r="I11" t="s">
        <v>127</v>
      </c>
      <c r="J11" s="68" t="s">
        <v>2325</v>
      </c>
      <c r="K11" s="68" t="s">
        <v>2326</v>
      </c>
      <c r="L11" s="68" t="s">
        <v>2327</v>
      </c>
      <c r="M11" t="s">
        <v>2293</v>
      </c>
      <c r="N11" s="3">
        <v>46205</v>
      </c>
    </row>
  </sheetData>
  <mergeCells count="2">
    <mergeCell ref="A1:K1"/>
    <mergeCell ref="A2:K2"/>
  </mergeCells>
  <conditionalFormatting sqref="I5:I11">
    <cfRule type="containsText" dxfId="25" priority="1" operator="containsText" text="Critical">
      <formula>NOT(ISERROR(SEARCH("Critical",I5)))</formula>
    </cfRule>
    <cfRule type="containsText" dxfId="24" priority="2" operator="containsText" text="High">
      <formula>NOT(ISERROR(SEARCH("High",I5)))</formula>
    </cfRule>
    <cfRule type="containsText" dxfId="23" priority="3" operator="containsText" text="Medium">
      <formula>NOT(ISERROR(SEARCH("Medium",I5)))</formula>
    </cfRule>
    <cfRule type="containsText" dxfId="22" priority="4" operator="containsText" text="Low">
      <formula>NOT(ISERROR(SEARCH("Low",I5)))</formula>
    </cfRule>
  </conditionalFormatting>
  <conditionalFormatting sqref="M5:M11">
    <cfRule type="containsText" dxfId="21" priority="5" operator="containsText" text="Escalated">
      <formula>NOT(ISERROR(SEARCH("Escalated",M5)))</formula>
    </cfRule>
    <cfRule type="containsText" dxfId="20" priority="6" operator="containsText" text="Open">
      <formula>NOT(ISERROR(SEARCH("Open",M5)))</formula>
    </cfRule>
    <cfRule type="containsText" dxfId="19" priority="7" operator="containsText" text="In Progress">
      <formula>NOT(ISERROR(SEARCH("In Progress",M5)))</formula>
    </cfRule>
    <cfRule type="containsText" dxfId="18" priority="8" operator="containsText" text="Scheduled">
      <formula>NOT(ISERROR(SEARCH("Scheduled",M5)))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5C78D0-DCB7-406E-9614-C6300F5E4079}">
  <dimension ref="A1:I29"/>
  <sheetViews>
    <sheetView workbookViewId="0">
      <selection activeCell="B16" sqref="B16"/>
    </sheetView>
  </sheetViews>
  <sheetFormatPr defaultRowHeight="14.4" x14ac:dyDescent="0.3"/>
  <cols>
    <col min="1" max="1" width="13" customWidth="1"/>
    <col min="2" max="2" width="14.77734375" customWidth="1"/>
    <col min="3" max="3" width="33.33203125" customWidth="1"/>
    <col min="4" max="4" width="22.21875" customWidth="1"/>
    <col min="5" max="5" width="33.33203125" customWidth="1"/>
    <col min="6" max="6" width="18.5546875" customWidth="1"/>
    <col min="7" max="7" width="14.77734375" customWidth="1"/>
    <col min="8" max="8" width="22.21875" customWidth="1"/>
    <col min="9" max="9" width="37" customWidth="1"/>
  </cols>
  <sheetData>
    <row r="1" spans="1:9" ht="21" x14ac:dyDescent="0.4">
      <c r="A1" s="206" t="s">
        <v>2586</v>
      </c>
      <c r="B1" s="183"/>
      <c r="C1" s="183"/>
      <c r="D1" s="183"/>
      <c r="E1" s="183"/>
      <c r="F1" s="183"/>
      <c r="G1" s="183"/>
      <c r="H1" s="183"/>
      <c r="I1" s="183"/>
    </row>
    <row r="3" spans="1:9" x14ac:dyDescent="0.3">
      <c r="A3" s="67" t="s">
        <v>2587</v>
      </c>
      <c r="B3" s="67" t="s">
        <v>103</v>
      </c>
      <c r="C3" s="67" t="s">
        <v>104</v>
      </c>
      <c r="D3" s="67" t="s">
        <v>2588</v>
      </c>
      <c r="E3" s="67" t="s">
        <v>2589</v>
      </c>
      <c r="F3" s="67" t="s">
        <v>2590</v>
      </c>
      <c r="G3" s="67" t="s">
        <v>112</v>
      </c>
      <c r="H3" s="67" t="s">
        <v>2591</v>
      </c>
      <c r="I3" s="67" t="s">
        <v>114</v>
      </c>
    </row>
    <row r="4" spans="1:9" x14ac:dyDescent="0.3">
      <c r="A4" t="s">
        <v>2592</v>
      </c>
      <c r="B4" t="s">
        <v>157</v>
      </c>
      <c r="C4" t="s">
        <v>158</v>
      </c>
      <c r="D4" t="s">
        <v>150</v>
      </c>
      <c r="E4" t="s">
        <v>151</v>
      </c>
      <c r="F4" t="s">
        <v>2593</v>
      </c>
      <c r="G4" t="s">
        <v>2594</v>
      </c>
      <c r="H4" t="s">
        <v>2595</v>
      </c>
      <c r="I4" t="s">
        <v>2596</v>
      </c>
    </row>
    <row r="5" spans="1:9" x14ac:dyDescent="0.3">
      <c r="A5" t="s">
        <v>2597</v>
      </c>
      <c r="B5" t="s">
        <v>171</v>
      </c>
      <c r="C5" t="s">
        <v>172</v>
      </c>
      <c r="D5" t="s">
        <v>169</v>
      </c>
      <c r="E5" t="s">
        <v>170</v>
      </c>
      <c r="F5" t="s">
        <v>2598</v>
      </c>
      <c r="G5" t="s">
        <v>2583</v>
      </c>
      <c r="H5" t="s">
        <v>2599</v>
      </c>
      <c r="I5" t="s">
        <v>2600</v>
      </c>
    </row>
    <row r="6" spans="1:9" x14ac:dyDescent="0.3">
      <c r="A6" t="s">
        <v>2601</v>
      </c>
      <c r="B6" t="s">
        <v>183</v>
      </c>
      <c r="C6" t="s">
        <v>184</v>
      </c>
      <c r="D6" t="s">
        <v>175</v>
      </c>
      <c r="E6" t="s">
        <v>176</v>
      </c>
      <c r="F6" t="s">
        <v>2355</v>
      </c>
      <c r="G6" t="s">
        <v>2557</v>
      </c>
      <c r="H6" t="s">
        <v>2602</v>
      </c>
      <c r="I6" t="s">
        <v>2603</v>
      </c>
    </row>
    <row r="7" spans="1:9" x14ac:dyDescent="0.3">
      <c r="A7" t="s">
        <v>2604</v>
      </c>
      <c r="B7" t="s">
        <v>183</v>
      </c>
      <c r="C7" t="s">
        <v>184</v>
      </c>
      <c r="D7" t="s">
        <v>169</v>
      </c>
      <c r="E7" t="s">
        <v>170</v>
      </c>
      <c r="F7" t="s">
        <v>2302</v>
      </c>
      <c r="G7" t="s">
        <v>2605</v>
      </c>
      <c r="H7" t="s">
        <v>2606</v>
      </c>
      <c r="I7" t="s">
        <v>2607</v>
      </c>
    </row>
    <row r="8" spans="1:9" x14ac:dyDescent="0.3">
      <c r="A8" t="s">
        <v>2608</v>
      </c>
      <c r="B8" t="s">
        <v>197</v>
      </c>
      <c r="C8" t="s">
        <v>198</v>
      </c>
      <c r="D8" t="s">
        <v>190</v>
      </c>
      <c r="E8" t="s">
        <v>191</v>
      </c>
      <c r="F8" t="s">
        <v>514</v>
      </c>
      <c r="G8" t="s">
        <v>2594</v>
      </c>
      <c r="H8" t="s">
        <v>2609</v>
      </c>
      <c r="I8" t="s">
        <v>2610</v>
      </c>
    </row>
    <row r="9" spans="1:9" x14ac:dyDescent="0.3">
      <c r="A9" t="s">
        <v>2611</v>
      </c>
      <c r="B9" t="s">
        <v>209</v>
      </c>
      <c r="C9" t="s">
        <v>210</v>
      </c>
      <c r="D9" t="s">
        <v>200</v>
      </c>
      <c r="E9" t="s">
        <v>201</v>
      </c>
      <c r="F9" t="s">
        <v>2593</v>
      </c>
      <c r="G9" t="s">
        <v>2594</v>
      </c>
      <c r="H9" t="s">
        <v>2595</v>
      </c>
      <c r="I9" t="s">
        <v>2612</v>
      </c>
    </row>
    <row r="10" spans="1:9" x14ac:dyDescent="0.3">
      <c r="A10" t="s">
        <v>2613</v>
      </c>
      <c r="B10" t="s">
        <v>209</v>
      </c>
      <c r="C10" t="s">
        <v>210</v>
      </c>
      <c r="D10" t="s">
        <v>195</v>
      </c>
      <c r="E10" t="s">
        <v>196</v>
      </c>
      <c r="F10" t="s">
        <v>2598</v>
      </c>
      <c r="G10" t="s">
        <v>2583</v>
      </c>
      <c r="H10" t="s">
        <v>2599</v>
      </c>
      <c r="I10" t="s">
        <v>2614</v>
      </c>
    </row>
    <row r="11" spans="1:9" x14ac:dyDescent="0.3">
      <c r="A11" t="s">
        <v>2615</v>
      </c>
      <c r="B11" t="s">
        <v>219</v>
      </c>
      <c r="C11" t="s">
        <v>220</v>
      </c>
      <c r="D11" t="s">
        <v>214</v>
      </c>
      <c r="E11" t="s">
        <v>215</v>
      </c>
      <c r="F11" t="s">
        <v>2355</v>
      </c>
      <c r="G11" t="s">
        <v>2557</v>
      </c>
      <c r="H11" t="s">
        <v>2602</v>
      </c>
      <c r="I11" t="s">
        <v>2616</v>
      </c>
    </row>
    <row r="12" spans="1:9" x14ac:dyDescent="0.3">
      <c r="A12" t="s">
        <v>2617</v>
      </c>
      <c r="B12" t="s">
        <v>228</v>
      </c>
      <c r="C12" t="s">
        <v>229</v>
      </c>
      <c r="D12" t="s">
        <v>221</v>
      </c>
      <c r="E12" t="s">
        <v>222</v>
      </c>
      <c r="F12" t="s">
        <v>2302</v>
      </c>
      <c r="G12" t="s">
        <v>2605</v>
      </c>
      <c r="H12" t="s">
        <v>2606</v>
      </c>
      <c r="I12" t="s">
        <v>2618</v>
      </c>
    </row>
    <row r="13" spans="1:9" x14ac:dyDescent="0.3">
      <c r="A13" t="s">
        <v>2619</v>
      </c>
      <c r="B13" t="s">
        <v>228</v>
      </c>
      <c r="C13" t="s">
        <v>229</v>
      </c>
      <c r="D13" t="s">
        <v>217</v>
      </c>
      <c r="E13" t="s">
        <v>218</v>
      </c>
      <c r="F13" t="s">
        <v>514</v>
      </c>
      <c r="G13" t="s">
        <v>2594</v>
      </c>
      <c r="H13" t="s">
        <v>2609</v>
      </c>
      <c r="I13" t="s">
        <v>2620</v>
      </c>
    </row>
    <row r="14" spans="1:9" x14ac:dyDescent="0.3">
      <c r="A14" t="s">
        <v>2621</v>
      </c>
      <c r="B14" t="s">
        <v>236</v>
      </c>
      <c r="C14" t="s">
        <v>237</v>
      </c>
      <c r="D14" t="s">
        <v>232</v>
      </c>
      <c r="E14" t="s">
        <v>233</v>
      </c>
      <c r="F14" t="s">
        <v>2593</v>
      </c>
      <c r="G14" t="s">
        <v>2594</v>
      </c>
      <c r="H14" t="s">
        <v>2595</v>
      </c>
      <c r="I14" t="s">
        <v>2596</v>
      </c>
    </row>
    <row r="15" spans="1:9" x14ac:dyDescent="0.3">
      <c r="A15" t="s">
        <v>2622</v>
      </c>
      <c r="B15" t="s">
        <v>249</v>
      </c>
      <c r="C15" t="s">
        <v>250</v>
      </c>
      <c r="D15" t="s">
        <v>239</v>
      </c>
      <c r="E15" t="s">
        <v>240</v>
      </c>
      <c r="F15" t="s">
        <v>2598</v>
      </c>
      <c r="G15" t="s">
        <v>2583</v>
      </c>
      <c r="H15" t="s">
        <v>2599</v>
      </c>
      <c r="I15" t="s">
        <v>2600</v>
      </c>
    </row>
    <row r="16" spans="1:9" x14ac:dyDescent="0.3">
      <c r="A16" t="s">
        <v>2623</v>
      </c>
      <c r="B16" t="s">
        <v>249</v>
      </c>
      <c r="C16" t="s">
        <v>250</v>
      </c>
      <c r="D16" t="s">
        <v>234</v>
      </c>
      <c r="E16" t="s">
        <v>235</v>
      </c>
      <c r="F16" t="s">
        <v>2355</v>
      </c>
      <c r="G16" t="s">
        <v>2557</v>
      </c>
      <c r="H16" t="s">
        <v>2602</v>
      </c>
      <c r="I16" t="s">
        <v>2603</v>
      </c>
    </row>
    <row r="17" spans="1:9" x14ac:dyDescent="0.3">
      <c r="A17" t="s">
        <v>2624</v>
      </c>
      <c r="B17" t="s">
        <v>258</v>
      </c>
      <c r="C17" t="s">
        <v>259</v>
      </c>
      <c r="D17" t="s">
        <v>251</v>
      </c>
      <c r="E17" t="s">
        <v>252</v>
      </c>
      <c r="F17" t="s">
        <v>2302</v>
      </c>
      <c r="G17" t="s">
        <v>2605</v>
      </c>
      <c r="H17" t="s">
        <v>2606</v>
      </c>
      <c r="I17" t="s">
        <v>2607</v>
      </c>
    </row>
    <row r="18" spans="1:9" x14ac:dyDescent="0.3">
      <c r="A18" t="s">
        <v>2625</v>
      </c>
      <c r="B18" t="s">
        <v>268</v>
      </c>
      <c r="C18" t="s">
        <v>269</v>
      </c>
      <c r="D18" t="s">
        <v>260</v>
      </c>
      <c r="E18" t="s">
        <v>261</v>
      </c>
      <c r="F18" t="s">
        <v>514</v>
      </c>
      <c r="G18" t="s">
        <v>2594</v>
      </c>
      <c r="H18" t="s">
        <v>2609</v>
      </c>
      <c r="I18" t="s">
        <v>2610</v>
      </c>
    </row>
    <row r="19" spans="1:9" x14ac:dyDescent="0.3">
      <c r="A19" t="s">
        <v>2626</v>
      </c>
      <c r="B19" t="s">
        <v>268</v>
      </c>
      <c r="C19" t="s">
        <v>269</v>
      </c>
      <c r="D19" t="s">
        <v>255</v>
      </c>
      <c r="E19" t="s">
        <v>256</v>
      </c>
      <c r="F19" t="s">
        <v>2593</v>
      </c>
      <c r="G19" t="s">
        <v>2594</v>
      </c>
      <c r="H19" t="s">
        <v>2595</v>
      </c>
      <c r="I19" t="s">
        <v>2612</v>
      </c>
    </row>
    <row r="20" spans="1:9" x14ac:dyDescent="0.3">
      <c r="A20" t="s">
        <v>2627</v>
      </c>
      <c r="B20" t="s">
        <v>278</v>
      </c>
      <c r="C20" t="s">
        <v>279</v>
      </c>
      <c r="D20" t="s">
        <v>273</v>
      </c>
      <c r="E20" t="s">
        <v>274</v>
      </c>
      <c r="F20" t="s">
        <v>2598</v>
      </c>
      <c r="G20" t="s">
        <v>2583</v>
      </c>
      <c r="H20" t="s">
        <v>2599</v>
      </c>
      <c r="I20" t="s">
        <v>2614</v>
      </c>
    </row>
    <row r="21" spans="1:9" x14ac:dyDescent="0.3">
      <c r="A21" t="s">
        <v>2628</v>
      </c>
      <c r="B21" t="s">
        <v>286</v>
      </c>
      <c r="C21" t="s">
        <v>287</v>
      </c>
      <c r="D21" t="s">
        <v>280</v>
      </c>
      <c r="E21" t="s">
        <v>281</v>
      </c>
      <c r="F21" t="s">
        <v>2355</v>
      </c>
      <c r="G21" t="s">
        <v>2557</v>
      </c>
      <c r="H21" t="s">
        <v>2602</v>
      </c>
      <c r="I21" t="s">
        <v>2616</v>
      </c>
    </row>
    <row r="22" spans="1:9" x14ac:dyDescent="0.3">
      <c r="A22" t="s">
        <v>2629</v>
      </c>
      <c r="B22" t="s">
        <v>286</v>
      </c>
      <c r="C22" t="s">
        <v>287</v>
      </c>
      <c r="D22" t="s">
        <v>276</v>
      </c>
      <c r="E22" t="s">
        <v>277</v>
      </c>
      <c r="F22" t="s">
        <v>2302</v>
      </c>
      <c r="G22" t="s">
        <v>2605</v>
      </c>
      <c r="H22" t="s">
        <v>2606</v>
      </c>
      <c r="I22" t="s">
        <v>2618</v>
      </c>
    </row>
    <row r="23" spans="1:9" x14ac:dyDescent="0.3">
      <c r="A23" t="s">
        <v>2630</v>
      </c>
      <c r="B23" t="s">
        <v>296</v>
      </c>
      <c r="C23" t="s">
        <v>297</v>
      </c>
      <c r="D23" t="s">
        <v>290</v>
      </c>
      <c r="E23" t="s">
        <v>291</v>
      </c>
      <c r="F23" t="s">
        <v>514</v>
      </c>
      <c r="G23" t="s">
        <v>2594</v>
      </c>
      <c r="H23" t="s">
        <v>2609</v>
      </c>
      <c r="I23" t="s">
        <v>2620</v>
      </c>
    </row>
    <row r="24" spans="1:9" x14ac:dyDescent="0.3">
      <c r="A24" t="s">
        <v>2631</v>
      </c>
      <c r="B24" t="s">
        <v>306</v>
      </c>
      <c r="C24" t="s">
        <v>307</v>
      </c>
      <c r="D24" t="s">
        <v>299</v>
      </c>
      <c r="E24" t="s">
        <v>300</v>
      </c>
      <c r="F24" t="s">
        <v>2593</v>
      </c>
      <c r="G24" t="s">
        <v>2594</v>
      </c>
      <c r="H24" t="s">
        <v>2595</v>
      </c>
      <c r="I24" t="s">
        <v>2596</v>
      </c>
    </row>
    <row r="25" spans="1:9" x14ac:dyDescent="0.3">
      <c r="A25" t="s">
        <v>2632</v>
      </c>
      <c r="B25" t="s">
        <v>306</v>
      </c>
      <c r="C25" t="s">
        <v>307</v>
      </c>
      <c r="D25" t="s">
        <v>292</v>
      </c>
      <c r="E25" t="s">
        <v>293</v>
      </c>
      <c r="F25" t="s">
        <v>2598</v>
      </c>
      <c r="G25" t="s">
        <v>2583</v>
      </c>
      <c r="H25" t="s">
        <v>2599</v>
      </c>
      <c r="I25" t="s">
        <v>2600</v>
      </c>
    </row>
    <row r="26" spans="1:9" x14ac:dyDescent="0.3">
      <c r="A26" t="s">
        <v>2633</v>
      </c>
      <c r="B26" t="s">
        <v>315</v>
      </c>
      <c r="C26" t="s">
        <v>316</v>
      </c>
      <c r="D26" t="s">
        <v>311</v>
      </c>
      <c r="E26" t="s">
        <v>312</v>
      </c>
      <c r="F26" t="s">
        <v>2355</v>
      </c>
      <c r="G26" t="s">
        <v>2557</v>
      </c>
      <c r="H26" t="s">
        <v>2602</v>
      </c>
      <c r="I26" t="s">
        <v>2603</v>
      </c>
    </row>
    <row r="27" spans="1:9" x14ac:dyDescent="0.3">
      <c r="A27" t="s">
        <v>2634</v>
      </c>
      <c r="B27" t="s">
        <v>323</v>
      </c>
      <c r="C27" t="s">
        <v>324</v>
      </c>
      <c r="D27" t="s">
        <v>317</v>
      </c>
      <c r="E27" t="s">
        <v>318</v>
      </c>
      <c r="F27" t="s">
        <v>2302</v>
      </c>
      <c r="G27" t="s">
        <v>2605</v>
      </c>
      <c r="H27" t="s">
        <v>2606</v>
      </c>
      <c r="I27" t="s">
        <v>2607</v>
      </c>
    </row>
    <row r="28" spans="1:9" x14ac:dyDescent="0.3">
      <c r="A28" t="s">
        <v>2635</v>
      </c>
      <c r="B28" t="s">
        <v>323</v>
      </c>
      <c r="C28" t="s">
        <v>324</v>
      </c>
      <c r="D28" t="s">
        <v>313</v>
      </c>
      <c r="E28" t="s">
        <v>314</v>
      </c>
      <c r="F28" t="s">
        <v>514</v>
      </c>
      <c r="G28" t="s">
        <v>2594</v>
      </c>
      <c r="H28" t="s">
        <v>2609</v>
      </c>
      <c r="I28" t="s">
        <v>2610</v>
      </c>
    </row>
    <row r="29" spans="1:9" x14ac:dyDescent="0.3">
      <c r="A29" t="s">
        <v>2636</v>
      </c>
      <c r="B29" t="s">
        <v>331</v>
      </c>
      <c r="C29" t="s">
        <v>332</v>
      </c>
      <c r="D29" t="s">
        <v>329</v>
      </c>
      <c r="E29" t="s">
        <v>330</v>
      </c>
      <c r="F29" t="s">
        <v>2593</v>
      </c>
      <c r="G29" t="s">
        <v>2594</v>
      </c>
      <c r="H29" t="s">
        <v>2595</v>
      </c>
      <c r="I29" t="s">
        <v>2612</v>
      </c>
    </row>
  </sheetData>
  <mergeCells count="1">
    <mergeCell ref="A1:I1"/>
  </mergeCells>
  <conditionalFormatting sqref="G4:G29">
    <cfRule type="containsText" dxfId="17" priority="1" operator="containsText" text="Clear">
      <formula>NOT(ISERROR(SEARCH("Clear",G4)))</formula>
    </cfRule>
    <cfRule type="containsText" dxfId="16" priority="2" operator="containsText" text="Blocked">
      <formula>NOT(ISERROR(SEARCH("Blocked",G4)))</formula>
    </cfRule>
    <cfRule type="containsText" dxfId="15" priority="3" operator="containsText" text="At Risk">
      <formula>NOT(ISERROR(SEARCH("At Risk",G4)))</formula>
    </cfRule>
    <cfRule type="containsText" dxfId="14" priority="4" operator="containsText" text="Resolved">
      <formula>NOT(ISERROR(SEARCH("Resolved",G4)))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71191A-AD12-4F76-9689-D20E8E63ED0D}">
  <dimension ref="A1:L30"/>
  <sheetViews>
    <sheetView workbookViewId="0">
      <selection activeCell="B16" sqref="B16"/>
    </sheetView>
  </sheetViews>
  <sheetFormatPr defaultRowHeight="14.4" x14ac:dyDescent="0.3"/>
  <cols>
    <col min="1" max="2" width="14.77734375" customWidth="1"/>
    <col min="3" max="3" width="33.33203125" customWidth="1"/>
    <col min="4" max="4" width="18.5546875" customWidth="1"/>
    <col min="5" max="5" width="14.77734375" customWidth="1"/>
    <col min="6" max="7" width="22.21875" customWidth="1"/>
    <col min="8" max="9" width="18.5546875" customWidth="1"/>
    <col min="10" max="10" width="14.77734375" customWidth="1"/>
    <col min="11" max="11" width="37" customWidth="1"/>
    <col min="12" max="12" width="18.5546875" customWidth="1"/>
  </cols>
  <sheetData>
    <row r="1" spans="1:12" ht="21" x14ac:dyDescent="0.4">
      <c r="A1" s="206" t="s">
        <v>2637</v>
      </c>
      <c r="B1" s="183"/>
      <c r="C1" s="183"/>
      <c r="D1" s="183"/>
      <c r="E1" s="183"/>
      <c r="F1" s="183"/>
      <c r="G1" s="183"/>
      <c r="H1" s="183"/>
      <c r="I1" s="183"/>
      <c r="J1" s="183"/>
      <c r="K1" s="183"/>
      <c r="L1" s="183"/>
    </row>
    <row r="3" spans="1:12" x14ac:dyDescent="0.3">
      <c r="A3" s="67" t="s">
        <v>2638</v>
      </c>
      <c r="B3" s="67" t="s">
        <v>103</v>
      </c>
      <c r="C3" s="67" t="s">
        <v>104</v>
      </c>
      <c r="D3" s="67" t="s">
        <v>2639</v>
      </c>
      <c r="E3" s="67" t="s">
        <v>2640</v>
      </c>
      <c r="F3" s="67" t="s">
        <v>2641</v>
      </c>
      <c r="G3" s="67" t="s">
        <v>2642</v>
      </c>
      <c r="H3" s="67" t="s">
        <v>2643</v>
      </c>
      <c r="I3" s="67" t="s">
        <v>2644</v>
      </c>
      <c r="J3" s="67" t="s">
        <v>2645</v>
      </c>
      <c r="K3" s="67" t="s">
        <v>2646</v>
      </c>
      <c r="L3" s="67" t="s">
        <v>2647</v>
      </c>
    </row>
    <row r="4" spans="1:12" x14ac:dyDescent="0.3">
      <c r="A4" t="s">
        <v>2648</v>
      </c>
      <c r="B4" t="s">
        <v>115</v>
      </c>
      <c r="C4" t="s">
        <v>116</v>
      </c>
      <c r="D4" t="s">
        <v>2649</v>
      </c>
      <c r="E4" t="s">
        <v>940</v>
      </c>
      <c r="F4" t="s">
        <v>941</v>
      </c>
      <c r="G4" t="s">
        <v>943</v>
      </c>
      <c r="H4" s="3">
        <v>46199</v>
      </c>
      <c r="I4" s="3">
        <v>46200</v>
      </c>
      <c r="J4" t="s">
        <v>2650</v>
      </c>
      <c r="K4" t="s">
        <v>2651</v>
      </c>
      <c r="L4" t="s">
        <v>2652</v>
      </c>
    </row>
    <row r="5" spans="1:12" x14ac:dyDescent="0.3">
      <c r="A5" t="s">
        <v>2653</v>
      </c>
      <c r="B5" t="s">
        <v>115</v>
      </c>
      <c r="C5" t="s">
        <v>116</v>
      </c>
      <c r="D5" t="s">
        <v>2654</v>
      </c>
      <c r="E5" t="s">
        <v>1204</v>
      </c>
      <c r="F5" t="s">
        <v>2655</v>
      </c>
      <c r="G5" t="s">
        <v>1226</v>
      </c>
      <c r="H5" s="3">
        <v>46199</v>
      </c>
      <c r="I5" s="3">
        <v>46200</v>
      </c>
      <c r="J5" t="s">
        <v>2656</v>
      </c>
      <c r="K5" t="s">
        <v>2657</v>
      </c>
      <c r="L5" t="s">
        <v>2652</v>
      </c>
    </row>
    <row r="6" spans="1:12" x14ac:dyDescent="0.3">
      <c r="A6" t="s">
        <v>2658</v>
      </c>
      <c r="B6" t="s">
        <v>115</v>
      </c>
      <c r="C6" t="s">
        <v>116</v>
      </c>
      <c r="D6" t="s">
        <v>2659</v>
      </c>
      <c r="E6" t="s">
        <v>1148</v>
      </c>
      <c r="F6" t="s">
        <v>2660</v>
      </c>
      <c r="G6" t="s">
        <v>1073</v>
      </c>
      <c r="H6" s="3">
        <v>46200</v>
      </c>
      <c r="I6" s="3">
        <v>46201</v>
      </c>
      <c r="J6" t="s">
        <v>2661</v>
      </c>
      <c r="K6" t="s">
        <v>2662</v>
      </c>
      <c r="L6" t="s">
        <v>2652</v>
      </c>
    </row>
    <row r="7" spans="1:12" x14ac:dyDescent="0.3">
      <c r="A7" t="s">
        <v>2663</v>
      </c>
      <c r="B7" t="s">
        <v>125</v>
      </c>
      <c r="C7" t="s">
        <v>126</v>
      </c>
      <c r="D7" t="s">
        <v>2649</v>
      </c>
      <c r="E7" t="s">
        <v>940</v>
      </c>
      <c r="F7" t="s">
        <v>941</v>
      </c>
      <c r="G7" t="s">
        <v>943</v>
      </c>
      <c r="H7" s="3">
        <v>46203</v>
      </c>
      <c r="I7" s="3">
        <v>46204</v>
      </c>
      <c r="J7" t="s">
        <v>2584</v>
      </c>
      <c r="K7" t="s">
        <v>2657</v>
      </c>
      <c r="L7" t="s">
        <v>2652</v>
      </c>
    </row>
    <row r="8" spans="1:12" x14ac:dyDescent="0.3">
      <c r="A8" t="s">
        <v>2664</v>
      </c>
      <c r="B8" t="s">
        <v>125</v>
      </c>
      <c r="C8" t="s">
        <v>126</v>
      </c>
      <c r="D8" t="s">
        <v>2654</v>
      </c>
      <c r="E8" t="s">
        <v>1204</v>
      </c>
      <c r="F8" t="s">
        <v>2655</v>
      </c>
      <c r="G8" t="s">
        <v>1226</v>
      </c>
      <c r="H8" s="3">
        <v>46203</v>
      </c>
      <c r="I8" s="3">
        <v>46204</v>
      </c>
      <c r="J8" t="s">
        <v>2584</v>
      </c>
      <c r="K8" t="s">
        <v>2662</v>
      </c>
      <c r="L8" t="s">
        <v>2652</v>
      </c>
    </row>
    <row r="9" spans="1:12" x14ac:dyDescent="0.3">
      <c r="A9" t="s">
        <v>2665</v>
      </c>
      <c r="B9" t="s">
        <v>125</v>
      </c>
      <c r="C9" t="s">
        <v>126</v>
      </c>
      <c r="D9" t="s">
        <v>2659</v>
      </c>
      <c r="E9" t="s">
        <v>1148</v>
      </c>
      <c r="F9" t="s">
        <v>2660</v>
      </c>
      <c r="G9" t="s">
        <v>1073</v>
      </c>
      <c r="H9" s="3">
        <v>46204</v>
      </c>
      <c r="I9" s="3">
        <v>46205</v>
      </c>
      <c r="J9" t="s">
        <v>2584</v>
      </c>
      <c r="K9" t="s">
        <v>2666</v>
      </c>
      <c r="L9" t="s">
        <v>2652</v>
      </c>
    </row>
    <row r="10" spans="1:12" x14ac:dyDescent="0.3">
      <c r="A10" t="s">
        <v>2667</v>
      </c>
      <c r="B10" t="s">
        <v>125</v>
      </c>
      <c r="C10" t="s">
        <v>126</v>
      </c>
      <c r="D10" t="s">
        <v>2668</v>
      </c>
      <c r="E10" t="s">
        <v>1109</v>
      </c>
      <c r="F10" t="s">
        <v>2669</v>
      </c>
      <c r="G10" t="s">
        <v>1057</v>
      </c>
      <c r="H10" s="3">
        <v>46205</v>
      </c>
      <c r="I10" s="3">
        <v>46205</v>
      </c>
      <c r="J10" t="s">
        <v>2584</v>
      </c>
      <c r="K10" t="s">
        <v>2670</v>
      </c>
      <c r="L10" t="s">
        <v>2652</v>
      </c>
    </row>
    <row r="11" spans="1:12" x14ac:dyDescent="0.3">
      <c r="A11" t="s">
        <v>2671</v>
      </c>
      <c r="B11" t="s">
        <v>125</v>
      </c>
      <c r="C11" t="s">
        <v>126</v>
      </c>
      <c r="D11" t="s">
        <v>2672</v>
      </c>
      <c r="E11" t="s">
        <v>1115</v>
      </c>
      <c r="F11" t="s">
        <v>2673</v>
      </c>
      <c r="G11" t="s">
        <v>1057</v>
      </c>
      <c r="H11" s="3">
        <v>46205</v>
      </c>
      <c r="I11" s="3">
        <v>46205</v>
      </c>
      <c r="J11" t="s">
        <v>2584</v>
      </c>
      <c r="K11" t="s">
        <v>2674</v>
      </c>
      <c r="L11" t="s">
        <v>2652</v>
      </c>
    </row>
    <row r="12" spans="1:12" x14ac:dyDescent="0.3">
      <c r="A12" t="s">
        <v>2675</v>
      </c>
      <c r="B12" t="s">
        <v>132</v>
      </c>
      <c r="C12" t="s">
        <v>133</v>
      </c>
      <c r="D12" t="s">
        <v>2649</v>
      </c>
      <c r="E12" t="s">
        <v>940</v>
      </c>
      <c r="F12" t="s">
        <v>941</v>
      </c>
      <c r="G12" t="s">
        <v>943</v>
      </c>
      <c r="H12" s="3">
        <v>46201</v>
      </c>
      <c r="I12" s="3">
        <v>46202</v>
      </c>
      <c r="J12" t="s">
        <v>2584</v>
      </c>
      <c r="K12" t="s">
        <v>2662</v>
      </c>
      <c r="L12" t="s">
        <v>2652</v>
      </c>
    </row>
    <row r="13" spans="1:12" x14ac:dyDescent="0.3">
      <c r="A13" t="s">
        <v>2676</v>
      </c>
      <c r="B13" t="s">
        <v>132</v>
      </c>
      <c r="C13" t="s">
        <v>133</v>
      </c>
      <c r="D13" t="s">
        <v>2654</v>
      </c>
      <c r="E13" t="s">
        <v>1204</v>
      </c>
      <c r="F13" t="s">
        <v>2655</v>
      </c>
      <c r="G13" t="s">
        <v>1226</v>
      </c>
      <c r="H13" s="3">
        <v>46201</v>
      </c>
      <c r="I13" s="3">
        <v>46202</v>
      </c>
      <c r="J13" t="s">
        <v>2584</v>
      </c>
      <c r="K13" t="s">
        <v>2666</v>
      </c>
      <c r="L13" t="s">
        <v>2652</v>
      </c>
    </row>
    <row r="14" spans="1:12" x14ac:dyDescent="0.3">
      <c r="A14" t="s">
        <v>2677</v>
      </c>
      <c r="B14" t="s">
        <v>132</v>
      </c>
      <c r="C14" t="s">
        <v>133</v>
      </c>
      <c r="D14" t="s">
        <v>2659</v>
      </c>
      <c r="E14" t="s">
        <v>1148</v>
      </c>
      <c r="F14" t="s">
        <v>2660</v>
      </c>
      <c r="G14" t="s">
        <v>1073</v>
      </c>
      <c r="H14" s="3">
        <v>46202</v>
      </c>
      <c r="I14" s="3">
        <v>46203</v>
      </c>
      <c r="J14" t="s">
        <v>2584</v>
      </c>
      <c r="K14" t="s">
        <v>2678</v>
      </c>
      <c r="L14" t="s">
        <v>2652</v>
      </c>
    </row>
    <row r="15" spans="1:12" x14ac:dyDescent="0.3">
      <c r="A15" t="s">
        <v>2679</v>
      </c>
      <c r="B15" t="s">
        <v>132</v>
      </c>
      <c r="C15" t="s">
        <v>133</v>
      </c>
      <c r="D15" t="s">
        <v>2668</v>
      </c>
      <c r="E15" t="s">
        <v>1109</v>
      </c>
      <c r="F15" t="s">
        <v>2669</v>
      </c>
      <c r="G15" t="s">
        <v>1057</v>
      </c>
      <c r="H15" s="3">
        <v>46203</v>
      </c>
      <c r="I15" s="3">
        <v>46203</v>
      </c>
      <c r="J15" t="s">
        <v>2584</v>
      </c>
      <c r="K15" t="s">
        <v>2670</v>
      </c>
      <c r="L15" t="s">
        <v>2652</v>
      </c>
    </row>
    <row r="16" spans="1:12" x14ac:dyDescent="0.3">
      <c r="A16" t="s">
        <v>2680</v>
      </c>
      <c r="B16" t="s">
        <v>132</v>
      </c>
      <c r="C16" t="s">
        <v>133</v>
      </c>
      <c r="D16" t="s">
        <v>2672</v>
      </c>
      <c r="E16" t="s">
        <v>1115</v>
      </c>
      <c r="F16" t="s">
        <v>2673</v>
      </c>
      <c r="G16" t="s">
        <v>1057</v>
      </c>
      <c r="H16" s="3">
        <v>46203</v>
      </c>
      <c r="I16" s="3">
        <v>46203</v>
      </c>
      <c r="J16" t="s">
        <v>2584</v>
      </c>
      <c r="K16" t="s">
        <v>2674</v>
      </c>
      <c r="L16" t="s">
        <v>2652</v>
      </c>
    </row>
    <row r="17" spans="1:12" x14ac:dyDescent="0.3">
      <c r="A17" t="s">
        <v>2681</v>
      </c>
      <c r="B17" t="s">
        <v>136</v>
      </c>
      <c r="C17" t="s">
        <v>137</v>
      </c>
      <c r="D17" t="s">
        <v>2649</v>
      </c>
      <c r="E17" t="s">
        <v>940</v>
      </c>
      <c r="F17" t="s">
        <v>941</v>
      </c>
      <c r="G17" t="s">
        <v>943</v>
      </c>
      <c r="H17" s="3">
        <v>46211</v>
      </c>
      <c r="I17" s="3">
        <v>46212</v>
      </c>
      <c r="J17" t="s">
        <v>2584</v>
      </c>
      <c r="K17" t="s">
        <v>2666</v>
      </c>
      <c r="L17" t="s">
        <v>2682</v>
      </c>
    </row>
    <row r="18" spans="1:12" x14ac:dyDescent="0.3">
      <c r="A18" t="s">
        <v>2683</v>
      </c>
      <c r="B18" t="s">
        <v>136</v>
      </c>
      <c r="C18" t="s">
        <v>137</v>
      </c>
      <c r="D18" t="s">
        <v>2654</v>
      </c>
      <c r="E18" t="s">
        <v>1204</v>
      </c>
      <c r="F18" t="s">
        <v>2655</v>
      </c>
      <c r="G18" t="s">
        <v>1226</v>
      </c>
      <c r="H18" s="3">
        <v>46211</v>
      </c>
      <c r="I18" s="3">
        <v>46212</v>
      </c>
      <c r="J18" t="s">
        <v>2584</v>
      </c>
      <c r="K18" t="s">
        <v>2678</v>
      </c>
      <c r="L18" t="s">
        <v>2682</v>
      </c>
    </row>
    <row r="19" spans="1:12" x14ac:dyDescent="0.3">
      <c r="A19" t="s">
        <v>2684</v>
      </c>
      <c r="B19" t="s">
        <v>136</v>
      </c>
      <c r="C19" t="s">
        <v>137</v>
      </c>
      <c r="D19" t="s">
        <v>2659</v>
      </c>
      <c r="E19" t="s">
        <v>1148</v>
      </c>
      <c r="F19" t="s">
        <v>2660</v>
      </c>
      <c r="G19" t="s">
        <v>1073</v>
      </c>
      <c r="H19" s="3">
        <v>46212</v>
      </c>
      <c r="I19" s="3">
        <v>46213</v>
      </c>
      <c r="J19" t="s">
        <v>2584</v>
      </c>
      <c r="K19" t="s">
        <v>2685</v>
      </c>
      <c r="L19" t="s">
        <v>2682</v>
      </c>
    </row>
    <row r="20" spans="1:12" x14ac:dyDescent="0.3">
      <c r="A20" t="s">
        <v>2686</v>
      </c>
      <c r="B20" t="s">
        <v>136</v>
      </c>
      <c r="C20" t="s">
        <v>137</v>
      </c>
      <c r="D20" t="s">
        <v>2668</v>
      </c>
      <c r="E20" t="s">
        <v>1109</v>
      </c>
      <c r="F20" t="s">
        <v>2669</v>
      </c>
      <c r="G20" t="s">
        <v>1057</v>
      </c>
      <c r="H20" s="3">
        <v>46213</v>
      </c>
      <c r="I20" s="3"/>
      <c r="J20" t="s">
        <v>2656</v>
      </c>
      <c r="K20" t="s">
        <v>2687</v>
      </c>
      <c r="L20" t="s">
        <v>2682</v>
      </c>
    </row>
    <row r="21" spans="1:12" x14ac:dyDescent="0.3">
      <c r="A21" t="s">
        <v>2688</v>
      </c>
      <c r="B21" t="s">
        <v>150</v>
      </c>
      <c r="C21" t="s">
        <v>151</v>
      </c>
      <c r="D21" t="s">
        <v>2649</v>
      </c>
      <c r="E21" t="s">
        <v>940</v>
      </c>
      <c r="F21" t="s">
        <v>941</v>
      </c>
      <c r="G21" t="s">
        <v>943</v>
      </c>
      <c r="H21" s="3">
        <v>46203</v>
      </c>
      <c r="I21" s="3">
        <v>46204</v>
      </c>
      <c r="J21" t="s">
        <v>2584</v>
      </c>
      <c r="K21" t="s">
        <v>2689</v>
      </c>
      <c r="L21" t="s">
        <v>2652</v>
      </c>
    </row>
    <row r="22" spans="1:12" x14ac:dyDescent="0.3">
      <c r="A22" t="s">
        <v>2690</v>
      </c>
      <c r="B22" t="s">
        <v>150</v>
      </c>
      <c r="C22" t="s">
        <v>151</v>
      </c>
      <c r="D22" t="s">
        <v>2654</v>
      </c>
      <c r="E22" t="s">
        <v>1204</v>
      </c>
      <c r="F22" t="s">
        <v>2655</v>
      </c>
      <c r="G22" t="s">
        <v>1226</v>
      </c>
      <c r="H22" s="3">
        <v>46203</v>
      </c>
      <c r="I22" s="3">
        <v>46204</v>
      </c>
      <c r="J22" t="s">
        <v>2584</v>
      </c>
      <c r="K22" t="s">
        <v>2691</v>
      </c>
      <c r="L22" t="s">
        <v>2652</v>
      </c>
    </row>
    <row r="23" spans="1:12" x14ac:dyDescent="0.3">
      <c r="A23" t="s">
        <v>2692</v>
      </c>
      <c r="B23" t="s">
        <v>150</v>
      </c>
      <c r="C23" t="s">
        <v>151</v>
      </c>
      <c r="D23" t="s">
        <v>2659</v>
      </c>
      <c r="E23" t="s">
        <v>1148</v>
      </c>
      <c r="F23" t="s">
        <v>2660</v>
      </c>
      <c r="G23" t="s">
        <v>1073</v>
      </c>
      <c r="H23" s="3">
        <v>46204</v>
      </c>
      <c r="I23" s="3">
        <v>46205</v>
      </c>
      <c r="J23" t="s">
        <v>2584</v>
      </c>
      <c r="K23" t="s">
        <v>2693</v>
      </c>
      <c r="L23" t="s">
        <v>2652</v>
      </c>
    </row>
    <row r="24" spans="1:12" x14ac:dyDescent="0.3">
      <c r="A24" t="s">
        <v>2694</v>
      </c>
      <c r="B24" t="s">
        <v>150</v>
      </c>
      <c r="C24" t="s">
        <v>151</v>
      </c>
      <c r="D24" t="s">
        <v>2668</v>
      </c>
      <c r="E24" t="s">
        <v>1109</v>
      </c>
      <c r="F24" t="s">
        <v>2669</v>
      </c>
      <c r="G24" t="s">
        <v>1057</v>
      </c>
      <c r="H24" s="3">
        <v>46205</v>
      </c>
      <c r="I24" s="3">
        <v>46205</v>
      </c>
      <c r="J24" t="s">
        <v>2584</v>
      </c>
      <c r="K24" t="s">
        <v>2670</v>
      </c>
      <c r="L24" t="s">
        <v>2652</v>
      </c>
    </row>
    <row r="25" spans="1:12" x14ac:dyDescent="0.3">
      <c r="A25" t="s">
        <v>2695</v>
      </c>
      <c r="B25" t="s">
        <v>150</v>
      </c>
      <c r="C25" t="s">
        <v>151</v>
      </c>
      <c r="D25" t="s">
        <v>2672</v>
      </c>
      <c r="E25" t="s">
        <v>1115</v>
      </c>
      <c r="F25" t="s">
        <v>2673</v>
      </c>
      <c r="G25" t="s">
        <v>1057</v>
      </c>
      <c r="H25" s="3">
        <v>46205</v>
      </c>
      <c r="I25" s="3">
        <v>46205</v>
      </c>
      <c r="J25" t="s">
        <v>2584</v>
      </c>
      <c r="K25" t="s">
        <v>2674</v>
      </c>
      <c r="L25" t="s">
        <v>2652</v>
      </c>
    </row>
    <row r="26" spans="1:12" x14ac:dyDescent="0.3">
      <c r="A26" t="s">
        <v>2696</v>
      </c>
      <c r="B26" t="s">
        <v>169</v>
      </c>
      <c r="C26" t="s">
        <v>170</v>
      </c>
      <c r="D26" t="s">
        <v>2649</v>
      </c>
      <c r="E26" t="s">
        <v>940</v>
      </c>
      <c r="F26" t="s">
        <v>941</v>
      </c>
      <c r="G26" t="s">
        <v>943</v>
      </c>
      <c r="H26" s="3">
        <v>46205</v>
      </c>
      <c r="I26" s="3">
        <v>46206</v>
      </c>
      <c r="J26" t="s">
        <v>2584</v>
      </c>
      <c r="K26" t="s">
        <v>2657</v>
      </c>
      <c r="L26" t="s">
        <v>2682</v>
      </c>
    </row>
    <row r="27" spans="1:12" x14ac:dyDescent="0.3">
      <c r="A27" t="s">
        <v>2697</v>
      </c>
      <c r="B27" t="s">
        <v>169</v>
      </c>
      <c r="C27" t="s">
        <v>170</v>
      </c>
      <c r="D27" t="s">
        <v>2654</v>
      </c>
      <c r="E27" t="s">
        <v>1204</v>
      </c>
      <c r="F27" t="s">
        <v>2655</v>
      </c>
      <c r="G27" t="s">
        <v>1226</v>
      </c>
      <c r="H27" s="3">
        <v>46205</v>
      </c>
      <c r="I27" s="3">
        <v>46206</v>
      </c>
      <c r="J27" t="s">
        <v>2584</v>
      </c>
      <c r="K27" t="s">
        <v>2662</v>
      </c>
      <c r="L27" t="s">
        <v>2682</v>
      </c>
    </row>
    <row r="28" spans="1:12" x14ac:dyDescent="0.3">
      <c r="A28" t="s">
        <v>2698</v>
      </c>
      <c r="B28" t="s">
        <v>169</v>
      </c>
      <c r="C28" t="s">
        <v>170</v>
      </c>
      <c r="D28" t="s">
        <v>2659</v>
      </c>
      <c r="E28" t="s">
        <v>1148</v>
      </c>
      <c r="F28" t="s">
        <v>2660</v>
      </c>
      <c r="G28" t="s">
        <v>1073</v>
      </c>
      <c r="H28" s="3">
        <v>46206</v>
      </c>
      <c r="I28" s="3">
        <v>46207</v>
      </c>
      <c r="J28" t="s">
        <v>2584</v>
      </c>
      <c r="K28" t="s">
        <v>2666</v>
      </c>
      <c r="L28" t="s">
        <v>2682</v>
      </c>
    </row>
    <row r="29" spans="1:12" x14ac:dyDescent="0.3">
      <c r="A29" t="s">
        <v>2699</v>
      </c>
      <c r="B29" t="s">
        <v>169</v>
      </c>
      <c r="C29" t="s">
        <v>170</v>
      </c>
      <c r="D29" t="s">
        <v>2668</v>
      </c>
      <c r="E29" t="s">
        <v>1109</v>
      </c>
      <c r="F29" t="s">
        <v>2669</v>
      </c>
      <c r="G29" t="s">
        <v>1057</v>
      </c>
      <c r="H29" s="3">
        <v>46207</v>
      </c>
      <c r="I29" s="3">
        <v>46207</v>
      </c>
      <c r="J29" t="s">
        <v>2584</v>
      </c>
      <c r="K29" t="s">
        <v>2670</v>
      </c>
      <c r="L29" t="s">
        <v>2682</v>
      </c>
    </row>
    <row r="30" spans="1:12" x14ac:dyDescent="0.3">
      <c r="A30" t="s">
        <v>2700</v>
      </c>
      <c r="B30" t="s">
        <v>169</v>
      </c>
      <c r="C30" t="s">
        <v>170</v>
      </c>
      <c r="D30" t="s">
        <v>2672</v>
      </c>
      <c r="E30" t="s">
        <v>1115</v>
      </c>
      <c r="F30" t="s">
        <v>2673</v>
      </c>
      <c r="G30" t="s">
        <v>1057</v>
      </c>
      <c r="H30" s="3">
        <v>46207</v>
      </c>
      <c r="I30" s="3">
        <v>46207</v>
      </c>
      <c r="J30" t="s">
        <v>2584</v>
      </c>
      <c r="K30" t="s">
        <v>2674</v>
      </c>
      <c r="L30" t="s">
        <v>2682</v>
      </c>
    </row>
  </sheetData>
  <mergeCells count="1">
    <mergeCell ref="A1:L1"/>
  </mergeCells>
  <conditionalFormatting sqref="J4:J30">
    <cfRule type="containsText" dxfId="13" priority="1" operator="containsText" text="Approved">
      <formula>NOT(ISERROR(SEARCH("Approved",J4)))</formula>
    </cfRule>
    <cfRule type="containsText" dxfId="12" priority="2" operator="containsText" text="Pending">
      <formula>NOT(ISERROR(SEARCH("Pending",J4)))</formula>
    </cfRule>
    <cfRule type="containsText" dxfId="11" priority="3" operator="containsText" text="Rejected">
      <formula>NOT(ISERROR(SEARCH("Rejected",J4)))</formula>
    </cfRule>
    <cfRule type="containsText" dxfId="10" priority="4" operator="containsText" text="Conditions">
      <formula>NOT(ISERROR(SEARCH("Conditions",J4)))</formula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0D254B-8699-4F66-8120-98973CACCA29}">
  <dimension ref="A1:L3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2" width="13" customWidth="1"/>
    <col min="3" max="4" width="24.109375" customWidth="1"/>
    <col min="5" max="8" width="18.5546875" customWidth="1"/>
    <col min="9" max="9" width="9.21875" customWidth="1"/>
    <col min="10" max="10" width="29.6640625" customWidth="1"/>
    <col min="11" max="11" width="37" customWidth="1"/>
    <col min="12" max="12" width="14.77734375" customWidth="1"/>
  </cols>
  <sheetData>
    <row r="1" spans="1:12" ht="25.05" customHeight="1" x14ac:dyDescent="0.3">
      <c r="A1" s="2" t="s">
        <v>1943</v>
      </c>
      <c r="B1" s="2" t="s">
        <v>935</v>
      </c>
      <c r="C1" s="2" t="s">
        <v>1944</v>
      </c>
      <c r="D1" s="2" t="s">
        <v>1</v>
      </c>
      <c r="E1" s="2" t="s">
        <v>936</v>
      </c>
      <c r="F1" s="2" t="s">
        <v>1945</v>
      </c>
      <c r="G1" s="2" t="s">
        <v>1946</v>
      </c>
      <c r="H1" s="2" t="s">
        <v>1947</v>
      </c>
      <c r="I1" s="2" t="s">
        <v>1948</v>
      </c>
      <c r="J1" s="2" t="s">
        <v>1949</v>
      </c>
      <c r="K1" s="2" t="s">
        <v>1950</v>
      </c>
      <c r="L1" s="2" t="s">
        <v>2336</v>
      </c>
    </row>
    <row r="2" spans="1:12" x14ac:dyDescent="0.3">
      <c r="A2" t="s">
        <v>1951</v>
      </c>
      <c r="B2" t="s">
        <v>979</v>
      </c>
      <c r="C2" t="s">
        <v>980</v>
      </c>
      <c r="D2" t="s">
        <v>982</v>
      </c>
      <c r="E2" t="s">
        <v>983</v>
      </c>
      <c r="F2" s="3">
        <v>46203</v>
      </c>
      <c r="G2" s="3">
        <v>46207</v>
      </c>
      <c r="H2" t="s">
        <v>1952</v>
      </c>
      <c r="I2">
        <v>5</v>
      </c>
      <c r="J2" t="s">
        <v>1953</v>
      </c>
      <c r="K2" t="s">
        <v>1954</v>
      </c>
      <c r="L2">
        <v>4</v>
      </c>
    </row>
    <row r="3" spans="1:12" x14ac:dyDescent="0.3">
      <c r="A3" t="s">
        <v>1955</v>
      </c>
      <c r="B3" t="s">
        <v>1018</v>
      </c>
      <c r="C3" t="s">
        <v>1956</v>
      </c>
      <c r="D3" t="s">
        <v>5</v>
      </c>
      <c r="E3" t="s">
        <v>5</v>
      </c>
      <c r="F3" s="3">
        <v>46205</v>
      </c>
      <c r="G3" s="3">
        <v>46209</v>
      </c>
      <c r="H3" t="s">
        <v>1957</v>
      </c>
      <c r="I3">
        <v>5</v>
      </c>
      <c r="J3" t="s">
        <v>132</v>
      </c>
      <c r="K3" t="s">
        <v>1958</v>
      </c>
      <c r="L3">
        <v>3</v>
      </c>
    </row>
    <row r="4" spans="1:12" x14ac:dyDescent="0.3">
      <c r="A4" t="s">
        <v>1959</v>
      </c>
      <c r="B4" t="s">
        <v>1059</v>
      </c>
      <c r="C4" t="s">
        <v>1960</v>
      </c>
      <c r="D4" t="s">
        <v>10</v>
      </c>
      <c r="E4" t="s">
        <v>10</v>
      </c>
      <c r="F4" s="3">
        <v>46221</v>
      </c>
      <c r="G4" s="3">
        <v>46225</v>
      </c>
      <c r="H4" t="s">
        <v>1961</v>
      </c>
      <c r="I4">
        <v>5</v>
      </c>
      <c r="J4" t="s">
        <v>146</v>
      </c>
      <c r="K4" t="s">
        <v>1962</v>
      </c>
      <c r="L4">
        <v>4</v>
      </c>
    </row>
    <row r="5" spans="1:12" x14ac:dyDescent="0.3">
      <c r="A5" t="s">
        <v>1963</v>
      </c>
      <c r="B5" t="s">
        <v>940</v>
      </c>
      <c r="C5" t="s">
        <v>941</v>
      </c>
      <c r="D5" t="s">
        <v>943</v>
      </c>
      <c r="E5" t="s">
        <v>9</v>
      </c>
      <c r="F5" s="3">
        <v>46215</v>
      </c>
      <c r="G5" s="3">
        <v>46218</v>
      </c>
      <c r="H5" t="s">
        <v>1952</v>
      </c>
      <c r="I5">
        <v>4</v>
      </c>
      <c r="J5" t="s">
        <v>1964</v>
      </c>
      <c r="K5" t="s">
        <v>1965</v>
      </c>
      <c r="L5">
        <v>5</v>
      </c>
    </row>
    <row r="6" spans="1:12" x14ac:dyDescent="0.3">
      <c r="A6" t="s">
        <v>1966</v>
      </c>
      <c r="B6" t="s">
        <v>1076</v>
      </c>
      <c r="C6" t="s">
        <v>1967</v>
      </c>
      <c r="D6" t="s">
        <v>8</v>
      </c>
      <c r="E6" t="s">
        <v>8</v>
      </c>
      <c r="F6" s="3">
        <v>46238</v>
      </c>
      <c r="G6" s="3">
        <v>46245</v>
      </c>
      <c r="H6" t="s">
        <v>1952</v>
      </c>
      <c r="I6">
        <v>8</v>
      </c>
      <c r="J6" t="s">
        <v>1968</v>
      </c>
      <c r="K6" t="s">
        <v>1969</v>
      </c>
      <c r="L6">
        <v>3</v>
      </c>
    </row>
    <row r="7" spans="1:12" x14ac:dyDescent="0.3">
      <c r="A7" t="s">
        <v>1970</v>
      </c>
      <c r="B7" t="s">
        <v>985</v>
      </c>
      <c r="C7" t="s">
        <v>986</v>
      </c>
      <c r="D7" t="s">
        <v>982</v>
      </c>
      <c r="E7" t="s">
        <v>983</v>
      </c>
      <c r="F7" s="3">
        <v>46245</v>
      </c>
      <c r="G7" s="3">
        <v>46249</v>
      </c>
      <c r="H7" t="s">
        <v>1957</v>
      </c>
      <c r="I7">
        <v>5</v>
      </c>
      <c r="J7" t="s">
        <v>165</v>
      </c>
      <c r="K7" t="s">
        <v>1971</v>
      </c>
      <c r="L7">
        <v>4</v>
      </c>
    </row>
    <row r="8" spans="1:12" x14ac:dyDescent="0.3">
      <c r="A8" t="s">
        <v>1972</v>
      </c>
      <c r="B8" t="s">
        <v>1118</v>
      </c>
      <c r="C8" t="s">
        <v>1973</v>
      </c>
      <c r="D8" t="s">
        <v>12</v>
      </c>
      <c r="E8" t="s">
        <v>12</v>
      </c>
      <c r="F8" s="3">
        <v>46234</v>
      </c>
      <c r="G8" s="3">
        <v>46236</v>
      </c>
      <c r="H8" t="s">
        <v>1961</v>
      </c>
      <c r="I8">
        <v>3</v>
      </c>
      <c r="J8" t="s">
        <v>153</v>
      </c>
      <c r="K8" t="s">
        <v>1974</v>
      </c>
      <c r="L8">
        <v>3</v>
      </c>
    </row>
    <row r="9" spans="1:12" x14ac:dyDescent="0.3">
      <c r="A9" t="s">
        <v>1975</v>
      </c>
      <c r="B9" t="s">
        <v>1153</v>
      </c>
      <c r="C9" t="s">
        <v>1976</v>
      </c>
      <c r="D9" t="s">
        <v>11</v>
      </c>
      <c r="E9" t="s">
        <v>11</v>
      </c>
      <c r="F9" s="3">
        <v>46269</v>
      </c>
      <c r="G9" s="3">
        <v>46276</v>
      </c>
      <c r="H9" t="s">
        <v>1952</v>
      </c>
      <c r="I9">
        <v>8</v>
      </c>
      <c r="J9" t="s">
        <v>1977</v>
      </c>
      <c r="K9" t="s">
        <v>1978</v>
      </c>
      <c r="L9">
        <v>4</v>
      </c>
    </row>
    <row r="10" spans="1:12" x14ac:dyDescent="0.3">
      <c r="A10" t="s">
        <v>1979</v>
      </c>
      <c r="B10" t="s">
        <v>946</v>
      </c>
      <c r="C10" t="s">
        <v>947</v>
      </c>
      <c r="D10" t="s">
        <v>943</v>
      </c>
      <c r="E10" t="s">
        <v>9</v>
      </c>
      <c r="F10" s="3">
        <v>46277</v>
      </c>
      <c r="G10" s="3">
        <v>46281</v>
      </c>
      <c r="H10" t="s">
        <v>1980</v>
      </c>
      <c r="I10">
        <v>5</v>
      </c>
      <c r="J10" t="s">
        <v>186</v>
      </c>
      <c r="K10" t="s">
        <v>1981</v>
      </c>
      <c r="L10">
        <v>3</v>
      </c>
    </row>
    <row r="11" spans="1:12" x14ac:dyDescent="0.3">
      <c r="A11" t="s">
        <v>1982</v>
      </c>
      <c r="B11" t="s">
        <v>1186</v>
      </c>
      <c r="C11" t="s">
        <v>1983</v>
      </c>
      <c r="D11" t="s">
        <v>7</v>
      </c>
      <c r="E11" t="s">
        <v>7</v>
      </c>
      <c r="F11" s="3">
        <v>46285</v>
      </c>
      <c r="G11" s="3">
        <v>46290</v>
      </c>
      <c r="H11" t="s">
        <v>1952</v>
      </c>
      <c r="I11">
        <v>6</v>
      </c>
      <c r="J11" t="s">
        <v>195</v>
      </c>
      <c r="K11" t="s">
        <v>1984</v>
      </c>
      <c r="L11">
        <v>2</v>
      </c>
    </row>
    <row r="12" spans="1:12" x14ac:dyDescent="0.3">
      <c r="A12" t="s">
        <v>1985</v>
      </c>
      <c r="B12" t="s">
        <v>988</v>
      </c>
      <c r="C12" t="s">
        <v>989</v>
      </c>
      <c r="D12" t="s">
        <v>982</v>
      </c>
      <c r="E12" t="s">
        <v>983</v>
      </c>
      <c r="F12" s="3">
        <v>46307</v>
      </c>
      <c r="G12" s="3">
        <v>46314</v>
      </c>
      <c r="H12" t="s">
        <v>1952</v>
      </c>
      <c r="I12">
        <v>8</v>
      </c>
      <c r="J12" t="s">
        <v>1986</v>
      </c>
      <c r="K12" t="s">
        <v>1987</v>
      </c>
      <c r="L12">
        <v>5</v>
      </c>
    </row>
    <row r="13" spans="1:12" x14ac:dyDescent="0.3">
      <c r="A13" t="s">
        <v>1988</v>
      </c>
      <c r="B13" t="s">
        <v>949</v>
      </c>
      <c r="C13" t="s">
        <v>950</v>
      </c>
      <c r="D13" t="s">
        <v>943</v>
      </c>
      <c r="E13" t="s">
        <v>9</v>
      </c>
      <c r="F13" s="3">
        <v>46319</v>
      </c>
      <c r="G13" s="3">
        <v>46323</v>
      </c>
      <c r="H13" t="s">
        <v>1957</v>
      </c>
      <c r="I13">
        <v>5</v>
      </c>
      <c r="J13" t="s">
        <v>217</v>
      </c>
      <c r="K13" t="s">
        <v>1989</v>
      </c>
      <c r="L13">
        <v>4</v>
      </c>
    </row>
    <row r="14" spans="1:12" x14ac:dyDescent="0.3">
      <c r="A14" t="s">
        <v>1990</v>
      </c>
      <c r="B14" t="s">
        <v>1023</v>
      </c>
      <c r="C14" t="s">
        <v>1991</v>
      </c>
      <c r="D14" t="s">
        <v>5</v>
      </c>
      <c r="E14" t="s">
        <v>5</v>
      </c>
      <c r="F14" s="3">
        <v>46331</v>
      </c>
      <c r="G14" s="3">
        <v>46338</v>
      </c>
      <c r="H14" t="s">
        <v>1952</v>
      </c>
      <c r="I14">
        <v>8</v>
      </c>
      <c r="J14" t="s">
        <v>1992</v>
      </c>
      <c r="K14" t="s">
        <v>1993</v>
      </c>
      <c r="L14">
        <v>3</v>
      </c>
    </row>
    <row r="15" spans="1:12" x14ac:dyDescent="0.3">
      <c r="A15" t="s">
        <v>1994</v>
      </c>
      <c r="B15" t="s">
        <v>1060</v>
      </c>
      <c r="C15" t="s">
        <v>1995</v>
      </c>
      <c r="D15" t="s">
        <v>10</v>
      </c>
      <c r="E15" t="s">
        <v>10</v>
      </c>
      <c r="F15" s="3">
        <v>46345</v>
      </c>
      <c r="G15" s="3">
        <v>46349</v>
      </c>
      <c r="H15" t="s">
        <v>1961</v>
      </c>
      <c r="I15">
        <v>5</v>
      </c>
      <c r="J15" t="s">
        <v>232</v>
      </c>
      <c r="K15" t="s">
        <v>1996</v>
      </c>
      <c r="L15">
        <v>2</v>
      </c>
    </row>
    <row r="16" spans="1:12" x14ac:dyDescent="0.3">
      <c r="A16" t="s">
        <v>1997</v>
      </c>
      <c r="B16" t="s">
        <v>1079</v>
      </c>
      <c r="C16" t="s">
        <v>1998</v>
      </c>
      <c r="D16" t="s">
        <v>8</v>
      </c>
      <c r="E16" t="s">
        <v>8</v>
      </c>
      <c r="F16" s="3">
        <v>46359</v>
      </c>
      <c r="G16" s="3">
        <v>46366</v>
      </c>
      <c r="H16" t="s">
        <v>1952</v>
      </c>
      <c r="I16">
        <v>8</v>
      </c>
      <c r="J16" t="s">
        <v>1999</v>
      </c>
      <c r="K16" t="s">
        <v>2000</v>
      </c>
      <c r="L16">
        <v>4</v>
      </c>
    </row>
    <row r="17" spans="1:12" x14ac:dyDescent="0.3">
      <c r="A17" t="s">
        <v>2001</v>
      </c>
      <c r="B17" t="s">
        <v>952</v>
      </c>
      <c r="C17" t="s">
        <v>953</v>
      </c>
      <c r="D17" t="s">
        <v>943</v>
      </c>
      <c r="E17" t="s">
        <v>9</v>
      </c>
      <c r="F17" s="3">
        <v>46373</v>
      </c>
      <c r="G17" s="3">
        <v>46387</v>
      </c>
      <c r="H17" t="s">
        <v>1952</v>
      </c>
      <c r="I17">
        <v>15</v>
      </c>
      <c r="J17" t="s">
        <v>2002</v>
      </c>
      <c r="K17" t="s">
        <v>2003</v>
      </c>
      <c r="L17">
        <v>5</v>
      </c>
    </row>
    <row r="18" spans="1:12" x14ac:dyDescent="0.3">
      <c r="A18" t="s">
        <v>2004</v>
      </c>
      <c r="B18" t="s">
        <v>991</v>
      </c>
      <c r="C18" t="s">
        <v>2005</v>
      </c>
      <c r="D18" t="s">
        <v>982</v>
      </c>
      <c r="E18" t="s">
        <v>983</v>
      </c>
      <c r="F18" s="3">
        <v>46380</v>
      </c>
      <c r="G18" s="3">
        <v>46390</v>
      </c>
      <c r="H18" t="s">
        <v>1952</v>
      </c>
      <c r="I18">
        <v>11</v>
      </c>
      <c r="J18" t="s">
        <v>2006</v>
      </c>
      <c r="K18" t="s">
        <v>2007</v>
      </c>
      <c r="L18">
        <v>5</v>
      </c>
    </row>
    <row r="19" spans="1:12" x14ac:dyDescent="0.3">
      <c r="A19" t="s">
        <v>2008</v>
      </c>
      <c r="B19" t="s">
        <v>1121</v>
      </c>
      <c r="C19" t="s">
        <v>2009</v>
      </c>
      <c r="D19" t="s">
        <v>12</v>
      </c>
      <c r="E19" t="s">
        <v>12</v>
      </c>
      <c r="F19" s="3">
        <v>46375</v>
      </c>
      <c r="G19" s="3">
        <v>46382</v>
      </c>
      <c r="H19" t="s">
        <v>1952</v>
      </c>
      <c r="I19">
        <v>8</v>
      </c>
      <c r="J19" t="s">
        <v>249</v>
      </c>
      <c r="K19" t="s">
        <v>2010</v>
      </c>
      <c r="L19">
        <v>4</v>
      </c>
    </row>
    <row r="20" spans="1:12" x14ac:dyDescent="0.3">
      <c r="A20" t="s">
        <v>2011</v>
      </c>
      <c r="B20" t="s">
        <v>1156</v>
      </c>
      <c r="C20" t="s">
        <v>2012</v>
      </c>
      <c r="D20" t="s">
        <v>11</v>
      </c>
      <c r="E20" t="s">
        <v>11</v>
      </c>
      <c r="F20" s="3">
        <v>46403</v>
      </c>
      <c r="G20" s="3">
        <v>46410</v>
      </c>
      <c r="H20" t="s">
        <v>1980</v>
      </c>
      <c r="I20">
        <v>8</v>
      </c>
      <c r="J20" t="s">
        <v>2013</v>
      </c>
      <c r="K20" t="s">
        <v>2014</v>
      </c>
      <c r="L20">
        <v>3</v>
      </c>
    </row>
    <row r="21" spans="1:12" x14ac:dyDescent="0.3">
      <c r="A21" t="s">
        <v>2015</v>
      </c>
      <c r="B21" t="s">
        <v>955</v>
      </c>
      <c r="C21" t="s">
        <v>956</v>
      </c>
      <c r="D21" t="s">
        <v>943</v>
      </c>
      <c r="E21" t="s">
        <v>9</v>
      </c>
      <c r="F21" s="3">
        <v>46418</v>
      </c>
      <c r="G21" s="3">
        <v>46422</v>
      </c>
      <c r="H21" t="s">
        <v>1957</v>
      </c>
      <c r="I21">
        <v>5</v>
      </c>
      <c r="J21" t="s">
        <v>276</v>
      </c>
      <c r="K21" t="s">
        <v>2016</v>
      </c>
      <c r="L21">
        <v>2</v>
      </c>
    </row>
    <row r="22" spans="1:12" x14ac:dyDescent="0.3">
      <c r="A22" t="s">
        <v>2017</v>
      </c>
      <c r="B22" t="s">
        <v>1026</v>
      </c>
      <c r="C22" t="s">
        <v>2018</v>
      </c>
      <c r="D22" t="s">
        <v>5</v>
      </c>
      <c r="E22" t="s">
        <v>5</v>
      </c>
      <c r="F22" s="3">
        <v>46432</v>
      </c>
      <c r="G22" s="3">
        <v>46439</v>
      </c>
      <c r="H22" t="s">
        <v>1952</v>
      </c>
      <c r="I22">
        <v>8</v>
      </c>
      <c r="J22" t="s">
        <v>2019</v>
      </c>
      <c r="K22" t="s">
        <v>2020</v>
      </c>
      <c r="L22">
        <v>4</v>
      </c>
    </row>
    <row r="23" spans="1:12" x14ac:dyDescent="0.3">
      <c r="A23" t="s">
        <v>2021</v>
      </c>
      <c r="B23" t="s">
        <v>1192</v>
      </c>
      <c r="C23" t="s">
        <v>675</v>
      </c>
      <c r="D23" t="s">
        <v>7</v>
      </c>
      <c r="E23" t="s">
        <v>7</v>
      </c>
      <c r="F23" s="3">
        <v>46445</v>
      </c>
      <c r="G23" s="3">
        <v>46449</v>
      </c>
      <c r="H23" t="s">
        <v>1961</v>
      </c>
      <c r="I23">
        <v>5</v>
      </c>
      <c r="J23" t="s">
        <v>288</v>
      </c>
      <c r="K23" t="s">
        <v>2022</v>
      </c>
      <c r="L23">
        <v>3</v>
      </c>
    </row>
    <row r="24" spans="1:12" x14ac:dyDescent="0.3">
      <c r="A24" t="s">
        <v>2023</v>
      </c>
      <c r="B24" t="s">
        <v>994</v>
      </c>
      <c r="C24" t="s">
        <v>2024</v>
      </c>
      <c r="D24" t="s">
        <v>982</v>
      </c>
      <c r="E24" t="s">
        <v>983</v>
      </c>
      <c r="F24" s="3">
        <v>46472</v>
      </c>
      <c r="G24" s="3">
        <v>46479</v>
      </c>
      <c r="H24" t="s">
        <v>1952</v>
      </c>
      <c r="I24">
        <v>8</v>
      </c>
      <c r="J24" t="s">
        <v>2025</v>
      </c>
      <c r="K24" t="s">
        <v>2026</v>
      </c>
      <c r="L24">
        <v>5</v>
      </c>
    </row>
    <row r="25" spans="1:12" x14ac:dyDescent="0.3">
      <c r="A25" t="s">
        <v>2027</v>
      </c>
      <c r="B25" t="s">
        <v>1061</v>
      </c>
      <c r="C25" t="s">
        <v>2028</v>
      </c>
      <c r="D25" t="s">
        <v>10</v>
      </c>
      <c r="E25" t="s">
        <v>10</v>
      </c>
      <c r="F25" s="3">
        <v>46486</v>
      </c>
      <c r="G25" s="3">
        <v>46490</v>
      </c>
      <c r="H25" t="s">
        <v>1957</v>
      </c>
      <c r="I25">
        <v>5</v>
      </c>
      <c r="J25" t="s">
        <v>304</v>
      </c>
      <c r="K25" t="s">
        <v>2029</v>
      </c>
      <c r="L25">
        <v>2</v>
      </c>
    </row>
    <row r="26" spans="1:12" x14ac:dyDescent="0.3">
      <c r="A26" t="s">
        <v>2030</v>
      </c>
      <c r="B26" t="s">
        <v>1082</v>
      </c>
      <c r="C26" t="s">
        <v>2031</v>
      </c>
      <c r="D26" t="s">
        <v>8</v>
      </c>
      <c r="E26" t="s">
        <v>8</v>
      </c>
      <c r="F26" s="3">
        <v>46500</v>
      </c>
      <c r="G26" s="3">
        <v>46510</v>
      </c>
      <c r="H26" t="s">
        <v>1952</v>
      </c>
      <c r="I26">
        <v>11</v>
      </c>
      <c r="J26" t="s">
        <v>2032</v>
      </c>
      <c r="K26" t="s">
        <v>2033</v>
      </c>
      <c r="L26">
        <v>4</v>
      </c>
    </row>
    <row r="27" spans="1:12" x14ac:dyDescent="0.3">
      <c r="A27" t="s">
        <v>2034</v>
      </c>
      <c r="B27" t="s">
        <v>958</v>
      </c>
      <c r="C27" t="s">
        <v>959</v>
      </c>
      <c r="D27" t="s">
        <v>943</v>
      </c>
      <c r="E27" t="s">
        <v>9</v>
      </c>
      <c r="F27" s="3">
        <v>46514</v>
      </c>
      <c r="G27" s="3">
        <v>46518</v>
      </c>
      <c r="H27" t="s">
        <v>1980</v>
      </c>
      <c r="I27">
        <v>5</v>
      </c>
      <c r="J27" t="s">
        <v>317</v>
      </c>
      <c r="K27" t="s">
        <v>2035</v>
      </c>
      <c r="L27">
        <v>3</v>
      </c>
    </row>
    <row r="28" spans="1:12" x14ac:dyDescent="0.3">
      <c r="A28" t="s">
        <v>2036</v>
      </c>
      <c r="B28" t="s">
        <v>1124</v>
      </c>
      <c r="C28" t="s">
        <v>2037</v>
      </c>
      <c r="D28" t="s">
        <v>12</v>
      </c>
      <c r="E28" t="s">
        <v>12</v>
      </c>
      <c r="F28" s="3">
        <v>46528</v>
      </c>
      <c r="G28" s="3">
        <v>46535</v>
      </c>
      <c r="H28" t="s">
        <v>1952</v>
      </c>
      <c r="I28">
        <v>8</v>
      </c>
      <c r="J28" t="s">
        <v>2038</v>
      </c>
      <c r="K28" t="s">
        <v>2039</v>
      </c>
      <c r="L28">
        <v>4</v>
      </c>
    </row>
    <row r="29" spans="1:12" x14ac:dyDescent="0.3">
      <c r="A29" t="s">
        <v>2040</v>
      </c>
      <c r="B29" t="s">
        <v>1159</v>
      </c>
      <c r="C29" t="s">
        <v>2041</v>
      </c>
      <c r="D29" t="s">
        <v>11</v>
      </c>
      <c r="E29" t="s">
        <v>11</v>
      </c>
      <c r="F29" s="3">
        <v>46542</v>
      </c>
      <c r="G29" s="3">
        <v>46549</v>
      </c>
      <c r="H29" t="s">
        <v>1952</v>
      </c>
      <c r="I29">
        <v>8</v>
      </c>
      <c r="J29" t="s">
        <v>329</v>
      </c>
      <c r="K29" t="s">
        <v>2042</v>
      </c>
      <c r="L29">
        <v>3</v>
      </c>
    </row>
    <row r="30" spans="1:12" x14ac:dyDescent="0.3">
      <c r="A30" t="s">
        <v>2043</v>
      </c>
      <c r="B30" t="s">
        <v>1029</v>
      </c>
      <c r="C30" t="s">
        <v>2044</v>
      </c>
      <c r="D30" t="s">
        <v>5</v>
      </c>
      <c r="E30" t="s">
        <v>5</v>
      </c>
      <c r="F30" s="3">
        <v>46256</v>
      </c>
      <c r="G30" s="3">
        <v>46260</v>
      </c>
      <c r="H30" t="s">
        <v>1957</v>
      </c>
      <c r="I30">
        <v>5</v>
      </c>
      <c r="J30" t="s">
        <v>171</v>
      </c>
      <c r="K30" t="s">
        <v>2045</v>
      </c>
      <c r="L30">
        <v>2</v>
      </c>
    </row>
    <row r="31" spans="1:12" x14ac:dyDescent="0.3">
      <c r="A31" t="s">
        <v>2046</v>
      </c>
      <c r="B31" t="s">
        <v>1062</v>
      </c>
      <c r="C31" t="s">
        <v>2047</v>
      </c>
      <c r="D31" t="s">
        <v>10</v>
      </c>
      <c r="E31" t="s">
        <v>10</v>
      </c>
      <c r="F31" s="3">
        <v>46298</v>
      </c>
      <c r="G31" s="3">
        <v>46302</v>
      </c>
      <c r="H31" t="s">
        <v>1952</v>
      </c>
      <c r="I31">
        <v>5</v>
      </c>
      <c r="J31" t="s">
        <v>200</v>
      </c>
      <c r="K31" t="s">
        <v>2048</v>
      </c>
      <c r="L31">
        <v>3</v>
      </c>
    </row>
  </sheetData>
  <conditionalFormatting sqref="K2:K31">
    <cfRule type="containsText" dxfId="9" priority="1" operator="containsText" text="Critical">
      <formula>NOT(ISERROR(SEARCH("Critical",K2)))</formula>
    </cfRule>
    <cfRule type="containsText" dxfId="8" priority="2" operator="containsText" text="High">
      <formula>NOT(ISERROR(SEARCH("High",K2)))</formula>
    </cfRule>
    <cfRule type="containsText" dxfId="7" priority="3" operator="containsText" text="Medium">
      <formula>NOT(ISERROR(SEARCH("Medium",K2)))</formula>
    </cfRule>
    <cfRule type="containsText" dxfId="6" priority="4" operator="containsText" text="Low">
      <formula>NOT(ISERROR(SEARCH("Low",K2)))</formula>
    </cfRule>
  </conditionalFormatting>
  <conditionalFormatting sqref="L2:L31">
    <cfRule type="cellIs" dxfId="5" priority="5" operator="equal">
      <formula>5</formula>
    </cfRule>
    <cfRule type="cellIs" dxfId="4" priority="6" operator="equal">
      <formula>4</formula>
    </cfRule>
    <cfRule type="cellIs" dxfId="3" priority="7" operator="equal">
      <formula>3</formula>
    </cfRule>
    <cfRule type="cellIs" dxfId="2" priority="8" operator="equal">
      <formula>2</formula>
    </cfRule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DB6637-BAE0-40DA-ABF3-F1E6913FADEC}">
  <dimension ref="A1:J18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3" customWidth="1"/>
    <col min="2" max="2" width="42.5546875" customWidth="1"/>
    <col min="3" max="3" width="18.5546875" customWidth="1"/>
    <col min="4" max="4" width="16.6640625" customWidth="1"/>
    <col min="5" max="5" width="22.21875" customWidth="1"/>
    <col min="6" max="6" width="18.5546875" customWidth="1"/>
    <col min="7" max="7" width="17.5546875" customWidth="1"/>
    <col min="8" max="8" width="24.109375" customWidth="1"/>
    <col min="9" max="9" width="13" customWidth="1"/>
    <col min="10" max="10" width="33.33203125" customWidth="1"/>
  </cols>
  <sheetData>
    <row r="1" spans="1:10" x14ac:dyDescent="0.3">
      <c r="A1" s="23" t="s">
        <v>1235</v>
      </c>
      <c r="B1" s="22" t="s">
        <v>2</v>
      </c>
      <c r="C1" s="22" t="s">
        <v>1</v>
      </c>
      <c r="D1" s="22" t="s">
        <v>487</v>
      </c>
      <c r="E1" s="22" t="s">
        <v>1236</v>
      </c>
      <c r="F1" s="22" t="s">
        <v>1237</v>
      </c>
      <c r="G1" s="22" t="s">
        <v>1238</v>
      </c>
      <c r="H1" s="22" t="s">
        <v>1239</v>
      </c>
      <c r="I1" s="22" t="s">
        <v>112</v>
      </c>
      <c r="J1" s="26" t="s">
        <v>114</v>
      </c>
    </row>
    <row r="2" spans="1:10" x14ac:dyDescent="0.3">
      <c r="A2" s="24" t="s">
        <v>1240</v>
      </c>
      <c r="B2" s="18" t="s">
        <v>13</v>
      </c>
      <c r="C2" s="18" t="s">
        <v>5</v>
      </c>
      <c r="D2" s="18" t="s">
        <v>27</v>
      </c>
      <c r="E2" s="18" t="s">
        <v>1241</v>
      </c>
      <c r="F2" s="18" t="s">
        <v>1242</v>
      </c>
      <c r="G2" s="19">
        <v>46193</v>
      </c>
      <c r="H2" s="18" t="s">
        <v>941</v>
      </c>
      <c r="I2" s="18" t="s">
        <v>874</v>
      </c>
      <c r="J2" s="27" t="s">
        <v>1243</v>
      </c>
    </row>
    <row r="3" spans="1:10" x14ac:dyDescent="0.3">
      <c r="A3" s="24" t="s">
        <v>1240</v>
      </c>
      <c r="B3" s="18" t="s">
        <v>13</v>
      </c>
      <c r="C3" s="18" t="s">
        <v>5</v>
      </c>
      <c r="D3" s="18" t="s">
        <v>28</v>
      </c>
      <c r="E3" s="18" t="s">
        <v>1244</v>
      </c>
      <c r="F3" s="18" t="s">
        <v>1245</v>
      </c>
      <c r="G3" s="19">
        <v>46188</v>
      </c>
      <c r="H3" s="18" t="s">
        <v>980</v>
      </c>
      <c r="I3" s="18" t="s">
        <v>874</v>
      </c>
      <c r="J3" s="27" t="s">
        <v>1246</v>
      </c>
    </row>
    <row r="4" spans="1:10" x14ac:dyDescent="0.3">
      <c r="A4" s="24" t="s">
        <v>1240</v>
      </c>
      <c r="B4" s="18" t="s">
        <v>13</v>
      </c>
      <c r="C4" s="18" t="s">
        <v>5</v>
      </c>
      <c r="D4" s="18" t="s">
        <v>29</v>
      </c>
      <c r="E4" s="18" t="s">
        <v>1247</v>
      </c>
      <c r="F4" s="18" t="s">
        <v>1248</v>
      </c>
      <c r="G4" s="19">
        <v>46183</v>
      </c>
      <c r="H4" s="18" t="s">
        <v>643</v>
      </c>
      <c r="I4" s="18" t="s">
        <v>874</v>
      </c>
      <c r="J4" s="27" t="s">
        <v>1249</v>
      </c>
    </row>
    <row r="5" spans="1:10" x14ac:dyDescent="0.3">
      <c r="A5" s="24" t="s">
        <v>1240</v>
      </c>
      <c r="B5" s="18" t="s">
        <v>13</v>
      </c>
      <c r="C5" s="18" t="s">
        <v>5</v>
      </c>
      <c r="D5" s="18" t="s">
        <v>30</v>
      </c>
      <c r="E5" s="18" t="s">
        <v>1250</v>
      </c>
      <c r="F5" s="18" t="s">
        <v>1251</v>
      </c>
      <c r="G5" s="19">
        <v>46178</v>
      </c>
      <c r="H5" s="18" t="s">
        <v>870</v>
      </c>
      <c r="I5" s="18" t="s">
        <v>874</v>
      </c>
      <c r="J5" s="27" t="s">
        <v>1252</v>
      </c>
    </row>
    <row r="6" spans="1:10" x14ac:dyDescent="0.3">
      <c r="A6" s="24" t="s">
        <v>1240</v>
      </c>
      <c r="B6" s="18" t="s">
        <v>13</v>
      </c>
      <c r="C6" s="18" t="s">
        <v>5</v>
      </c>
      <c r="D6" s="18" t="s">
        <v>31</v>
      </c>
      <c r="E6" s="18" t="s">
        <v>1253</v>
      </c>
      <c r="F6" s="18" t="s">
        <v>1254</v>
      </c>
      <c r="G6" s="19">
        <v>46170</v>
      </c>
      <c r="H6" s="18" t="s">
        <v>1071</v>
      </c>
      <c r="I6" s="18" t="s">
        <v>874</v>
      </c>
      <c r="J6" s="27" t="s">
        <v>1255</v>
      </c>
    </row>
    <row r="7" spans="1:10" x14ac:dyDescent="0.3">
      <c r="A7" s="24" t="s">
        <v>1240</v>
      </c>
      <c r="B7" s="18" t="s">
        <v>13</v>
      </c>
      <c r="C7" s="18" t="s">
        <v>5</v>
      </c>
      <c r="D7" s="18" t="s">
        <v>32</v>
      </c>
      <c r="E7" s="18" t="s">
        <v>1253</v>
      </c>
      <c r="F7" s="18" t="s">
        <v>1254</v>
      </c>
      <c r="G7" s="19">
        <v>46171</v>
      </c>
      <c r="H7" s="18" t="s">
        <v>1110</v>
      </c>
      <c r="I7" s="18" t="s">
        <v>874</v>
      </c>
      <c r="J7" s="27" t="s">
        <v>1256</v>
      </c>
    </row>
    <row r="8" spans="1:10" x14ac:dyDescent="0.3">
      <c r="A8" s="24" t="s">
        <v>1257</v>
      </c>
      <c r="B8" s="18" t="s">
        <v>14</v>
      </c>
      <c r="C8" s="18" t="s">
        <v>5</v>
      </c>
      <c r="D8" s="18" t="s">
        <v>27</v>
      </c>
      <c r="E8" s="18" t="s">
        <v>1258</v>
      </c>
      <c r="F8" s="18" t="s">
        <v>1259</v>
      </c>
      <c r="G8" s="19">
        <v>46195</v>
      </c>
      <c r="H8" s="18" t="s">
        <v>947</v>
      </c>
      <c r="I8" s="18" t="s">
        <v>874</v>
      </c>
      <c r="J8" s="27" t="s">
        <v>1260</v>
      </c>
    </row>
    <row r="9" spans="1:10" x14ac:dyDescent="0.3">
      <c r="A9" s="24" t="s">
        <v>1257</v>
      </c>
      <c r="B9" s="18" t="s">
        <v>14</v>
      </c>
      <c r="C9" s="18" t="s">
        <v>5</v>
      </c>
      <c r="D9" s="18" t="s">
        <v>28</v>
      </c>
      <c r="E9" s="18" t="s">
        <v>1261</v>
      </c>
      <c r="F9" s="18" t="s">
        <v>1262</v>
      </c>
      <c r="G9" s="19">
        <v>46191</v>
      </c>
      <c r="H9" s="18" t="s">
        <v>986</v>
      </c>
      <c r="I9" s="18" t="s">
        <v>874</v>
      </c>
      <c r="J9" s="27" t="s">
        <v>1263</v>
      </c>
    </row>
    <row r="10" spans="1:10" x14ac:dyDescent="0.3">
      <c r="A10" s="24" t="s">
        <v>1257</v>
      </c>
      <c r="B10" s="18" t="s">
        <v>14</v>
      </c>
      <c r="C10" s="18" t="s">
        <v>5</v>
      </c>
      <c r="D10" s="18" t="s">
        <v>29</v>
      </c>
      <c r="E10" s="18" t="s">
        <v>1264</v>
      </c>
      <c r="F10" s="18" t="s">
        <v>1265</v>
      </c>
      <c r="G10" s="19">
        <v>46185</v>
      </c>
      <c r="H10" s="18" t="s">
        <v>1024</v>
      </c>
      <c r="I10" s="18" t="s">
        <v>874</v>
      </c>
      <c r="J10" s="27" t="s">
        <v>1266</v>
      </c>
    </row>
    <row r="11" spans="1:10" x14ac:dyDescent="0.3">
      <c r="A11" s="24" t="s">
        <v>1257</v>
      </c>
      <c r="B11" s="18" t="s">
        <v>14</v>
      </c>
      <c r="C11" s="18" t="s">
        <v>5</v>
      </c>
      <c r="D11" s="18" t="s">
        <v>30</v>
      </c>
      <c r="E11" s="18" t="s">
        <v>1267</v>
      </c>
      <c r="F11" s="18" t="s">
        <v>1268</v>
      </c>
      <c r="G11" s="19">
        <v>46181</v>
      </c>
      <c r="H11" s="18" t="s">
        <v>877</v>
      </c>
      <c r="I11" s="18" t="s">
        <v>874</v>
      </c>
      <c r="J11" s="27" t="s">
        <v>1269</v>
      </c>
    </row>
    <row r="12" spans="1:10" x14ac:dyDescent="0.3">
      <c r="A12" s="24" t="s">
        <v>1257</v>
      </c>
      <c r="B12" s="18" t="s">
        <v>14</v>
      </c>
      <c r="C12" s="18" t="s">
        <v>5</v>
      </c>
      <c r="D12" s="18" t="s">
        <v>31</v>
      </c>
      <c r="E12" s="18" t="s">
        <v>1270</v>
      </c>
      <c r="F12" s="18" t="s">
        <v>1271</v>
      </c>
      <c r="G12" s="19">
        <v>46174</v>
      </c>
      <c r="H12" s="18" t="s">
        <v>1077</v>
      </c>
      <c r="I12" s="18" t="s">
        <v>874</v>
      </c>
      <c r="J12" s="27" t="s">
        <v>1272</v>
      </c>
    </row>
    <row r="13" spans="1:10" x14ac:dyDescent="0.3">
      <c r="A13" s="24" t="s">
        <v>1257</v>
      </c>
      <c r="B13" s="18" t="s">
        <v>14</v>
      </c>
      <c r="C13" s="18" t="s">
        <v>5</v>
      </c>
      <c r="D13" s="18" t="s">
        <v>32</v>
      </c>
      <c r="E13" s="18" t="s">
        <v>1270</v>
      </c>
      <c r="F13" s="18" t="s">
        <v>1271</v>
      </c>
      <c r="G13" s="19">
        <v>46175</v>
      </c>
      <c r="H13" s="18" t="s">
        <v>1116</v>
      </c>
      <c r="I13" s="18" t="s">
        <v>874</v>
      </c>
      <c r="J13" s="27" t="s">
        <v>1273</v>
      </c>
    </row>
    <row r="14" spans="1:10" x14ac:dyDescent="0.3">
      <c r="A14" s="24" t="s">
        <v>1274</v>
      </c>
      <c r="B14" s="18" t="s">
        <v>33</v>
      </c>
      <c r="C14" s="18" t="s">
        <v>6</v>
      </c>
      <c r="D14" s="18" t="s">
        <v>27</v>
      </c>
      <c r="E14" s="18" t="s">
        <v>1275</v>
      </c>
      <c r="F14" s="18" t="s">
        <v>1276</v>
      </c>
      <c r="G14" s="19">
        <v>46194</v>
      </c>
      <c r="H14" s="18" t="s">
        <v>950</v>
      </c>
      <c r="I14" s="18" t="s">
        <v>874</v>
      </c>
      <c r="J14" s="27" t="s">
        <v>1277</v>
      </c>
    </row>
    <row r="15" spans="1:10" x14ac:dyDescent="0.3">
      <c r="A15" s="24" t="s">
        <v>1274</v>
      </c>
      <c r="B15" s="18" t="s">
        <v>33</v>
      </c>
      <c r="C15" s="18" t="s">
        <v>6</v>
      </c>
      <c r="D15" s="18" t="s">
        <v>28</v>
      </c>
      <c r="E15" s="18" t="s">
        <v>1278</v>
      </c>
      <c r="F15" s="18" t="s">
        <v>1279</v>
      </c>
      <c r="G15" s="19">
        <v>46189</v>
      </c>
      <c r="H15" s="18" t="s">
        <v>989</v>
      </c>
      <c r="I15" s="18" t="s">
        <v>874</v>
      </c>
      <c r="J15" s="27" t="s">
        <v>1280</v>
      </c>
    </row>
    <row r="16" spans="1:10" x14ac:dyDescent="0.3">
      <c r="A16" s="24" t="s">
        <v>1274</v>
      </c>
      <c r="B16" s="18" t="s">
        <v>33</v>
      </c>
      <c r="C16" s="18" t="s">
        <v>6</v>
      </c>
      <c r="D16" s="18" t="s">
        <v>29</v>
      </c>
      <c r="E16" s="18" t="s">
        <v>1281</v>
      </c>
      <c r="F16" s="18" t="s">
        <v>1282</v>
      </c>
      <c r="G16" s="19">
        <v>46184</v>
      </c>
      <c r="H16" s="18" t="s">
        <v>1027</v>
      </c>
      <c r="I16" s="18" t="s">
        <v>874</v>
      </c>
      <c r="J16" s="27" t="s">
        <v>1283</v>
      </c>
    </row>
    <row r="17" spans="1:10" x14ac:dyDescent="0.3">
      <c r="A17" s="24" t="s">
        <v>1274</v>
      </c>
      <c r="B17" s="18" t="s">
        <v>33</v>
      </c>
      <c r="C17" s="18" t="s">
        <v>6</v>
      </c>
      <c r="D17" s="18" t="s">
        <v>30</v>
      </c>
      <c r="E17" s="18" t="s">
        <v>1284</v>
      </c>
      <c r="F17" s="18" t="s">
        <v>1285</v>
      </c>
      <c r="G17" s="19">
        <v>46179</v>
      </c>
      <c r="H17" s="18" t="s">
        <v>882</v>
      </c>
      <c r="I17" s="18" t="s">
        <v>874</v>
      </c>
      <c r="J17" s="27" t="s">
        <v>1286</v>
      </c>
    </row>
    <row r="18" spans="1:10" x14ac:dyDescent="0.3">
      <c r="A18" s="24" t="s">
        <v>1274</v>
      </c>
      <c r="B18" s="18" t="s">
        <v>33</v>
      </c>
      <c r="C18" s="18" t="s">
        <v>6</v>
      </c>
      <c r="D18" s="18" t="s">
        <v>31</v>
      </c>
      <c r="E18" s="18" t="s">
        <v>1287</v>
      </c>
      <c r="F18" s="18" t="s">
        <v>1288</v>
      </c>
      <c r="G18" s="19">
        <v>46172</v>
      </c>
      <c r="H18" s="18" t="s">
        <v>1080</v>
      </c>
      <c r="I18" s="18" t="s">
        <v>874</v>
      </c>
      <c r="J18" s="27" t="s">
        <v>1289</v>
      </c>
    </row>
    <row r="19" spans="1:10" x14ac:dyDescent="0.3">
      <c r="A19" s="24" t="s">
        <v>1274</v>
      </c>
      <c r="B19" s="18" t="s">
        <v>33</v>
      </c>
      <c r="C19" s="18" t="s">
        <v>6</v>
      </c>
      <c r="D19" s="18" t="s">
        <v>32</v>
      </c>
      <c r="E19" s="18" t="s">
        <v>1287</v>
      </c>
      <c r="F19" s="18" t="s">
        <v>1288</v>
      </c>
      <c r="G19" s="19">
        <v>46173</v>
      </c>
      <c r="H19" s="18" t="s">
        <v>1119</v>
      </c>
      <c r="I19" s="18" t="s">
        <v>874</v>
      </c>
      <c r="J19" s="27" t="s">
        <v>1290</v>
      </c>
    </row>
    <row r="20" spans="1:10" x14ac:dyDescent="0.3">
      <c r="A20" s="24" t="s">
        <v>1291</v>
      </c>
      <c r="B20" s="18" t="s">
        <v>43</v>
      </c>
      <c r="C20" s="18" t="s">
        <v>7</v>
      </c>
      <c r="D20" s="18" t="s">
        <v>27</v>
      </c>
      <c r="E20" s="18" t="s">
        <v>1292</v>
      </c>
      <c r="F20" s="18" t="s">
        <v>1293</v>
      </c>
      <c r="G20" s="19">
        <v>46196</v>
      </c>
      <c r="H20" s="18" t="s">
        <v>953</v>
      </c>
      <c r="I20" s="18" t="s">
        <v>874</v>
      </c>
      <c r="J20" s="27" t="s">
        <v>1294</v>
      </c>
    </row>
    <row r="21" spans="1:10" x14ac:dyDescent="0.3">
      <c r="A21" s="24" t="s">
        <v>1291</v>
      </c>
      <c r="B21" s="18" t="s">
        <v>43</v>
      </c>
      <c r="C21" s="18" t="s">
        <v>7</v>
      </c>
      <c r="D21" s="18" t="s">
        <v>28</v>
      </c>
      <c r="E21" s="18" t="s">
        <v>1295</v>
      </c>
      <c r="F21" s="18" t="s">
        <v>1296</v>
      </c>
      <c r="G21" s="19">
        <v>46192</v>
      </c>
      <c r="H21" s="18" t="s">
        <v>992</v>
      </c>
      <c r="I21" s="18" t="s">
        <v>874</v>
      </c>
      <c r="J21" s="27" t="s">
        <v>1297</v>
      </c>
    </row>
    <row r="22" spans="1:10" x14ac:dyDescent="0.3">
      <c r="A22" s="24" t="s">
        <v>1291</v>
      </c>
      <c r="B22" s="18" t="s">
        <v>43</v>
      </c>
      <c r="C22" s="18" t="s">
        <v>7</v>
      </c>
      <c r="D22" s="18" t="s">
        <v>29</v>
      </c>
      <c r="E22" s="18" t="s">
        <v>1298</v>
      </c>
      <c r="F22" s="18" t="s">
        <v>1299</v>
      </c>
      <c r="G22" s="19">
        <v>46187</v>
      </c>
      <c r="H22" s="18" t="s">
        <v>1030</v>
      </c>
      <c r="I22" s="18" t="s">
        <v>874</v>
      </c>
      <c r="J22" s="27" t="s">
        <v>1300</v>
      </c>
    </row>
    <row r="23" spans="1:10" x14ac:dyDescent="0.3">
      <c r="A23" s="24" t="s">
        <v>1291</v>
      </c>
      <c r="B23" s="18" t="s">
        <v>43</v>
      </c>
      <c r="C23" s="18" t="s">
        <v>7</v>
      </c>
      <c r="D23" s="18" t="s">
        <v>30</v>
      </c>
      <c r="E23" s="18" t="s">
        <v>1301</v>
      </c>
      <c r="F23" s="18" t="s">
        <v>1302</v>
      </c>
      <c r="G23" s="19">
        <v>46182</v>
      </c>
      <c r="H23" s="18" t="s">
        <v>888</v>
      </c>
      <c r="I23" s="18" t="s">
        <v>874</v>
      </c>
      <c r="J23" s="27" t="s">
        <v>1303</v>
      </c>
    </row>
    <row r="24" spans="1:10" x14ac:dyDescent="0.3">
      <c r="A24" s="24" t="s">
        <v>1291</v>
      </c>
      <c r="B24" s="18" t="s">
        <v>43</v>
      </c>
      <c r="C24" s="18" t="s">
        <v>7</v>
      </c>
      <c r="D24" s="18" t="s">
        <v>31</v>
      </c>
      <c r="E24" s="18" t="s">
        <v>1304</v>
      </c>
      <c r="F24" s="18" t="s">
        <v>1305</v>
      </c>
      <c r="G24" s="19">
        <v>46175</v>
      </c>
      <c r="H24" s="18" t="s">
        <v>1083</v>
      </c>
      <c r="I24" s="18" t="s">
        <v>874</v>
      </c>
      <c r="J24" s="27" t="s">
        <v>1306</v>
      </c>
    </row>
    <row r="25" spans="1:10" x14ac:dyDescent="0.3">
      <c r="A25" s="24" t="s">
        <v>1291</v>
      </c>
      <c r="B25" s="18" t="s">
        <v>43</v>
      </c>
      <c r="C25" s="18" t="s">
        <v>7</v>
      </c>
      <c r="D25" s="18" t="s">
        <v>32</v>
      </c>
      <c r="E25" s="18" t="s">
        <v>1304</v>
      </c>
      <c r="F25" s="18" t="s">
        <v>1305</v>
      </c>
      <c r="G25" s="19">
        <v>46176</v>
      </c>
      <c r="H25" s="18" t="s">
        <v>1122</v>
      </c>
      <c r="I25" s="18" t="s">
        <v>874</v>
      </c>
      <c r="J25" s="27" t="s">
        <v>1307</v>
      </c>
    </row>
    <row r="26" spans="1:10" x14ac:dyDescent="0.3">
      <c r="A26" s="24" t="s">
        <v>1308</v>
      </c>
      <c r="B26" s="18" t="s">
        <v>53</v>
      </c>
      <c r="C26" s="18" t="s">
        <v>8</v>
      </c>
      <c r="D26" s="18" t="s">
        <v>27</v>
      </c>
      <c r="E26" s="18" t="s">
        <v>1309</v>
      </c>
      <c r="F26" s="18" t="s">
        <v>1310</v>
      </c>
      <c r="G26" s="19">
        <v>46197</v>
      </c>
      <c r="H26" s="18" t="s">
        <v>956</v>
      </c>
      <c r="I26" s="18" t="s">
        <v>874</v>
      </c>
      <c r="J26" s="27" t="s">
        <v>1311</v>
      </c>
    </row>
    <row r="27" spans="1:10" x14ac:dyDescent="0.3">
      <c r="A27" s="24" t="s">
        <v>1308</v>
      </c>
      <c r="B27" s="18" t="s">
        <v>53</v>
      </c>
      <c r="C27" s="18" t="s">
        <v>8</v>
      </c>
      <c r="D27" s="18" t="s">
        <v>28</v>
      </c>
      <c r="E27" s="18" t="s">
        <v>1312</v>
      </c>
      <c r="F27" s="18" t="s">
        <v>1313</v>
      </c>
      <c r="G27" s="19">
        <v>46193</v>
      </c>
      <c r="H27" s="18" t="s">
        <v>995</v>
      </c>
      <c r="I27" s="18" t="s">
        <v>874</v>
      </c>
      <c r="J27" s="27" t="s">
        <v>1314</v>
      </c>
    </row>
    <row r="28" spans="1:10" x14ac:dyDescent="0.3">
      <c r="A28" s="24" t="s">
        <v>1308</v>
      </c>
      <c r="B28" s="18" t="s">
        <v>53</v>
      </c>
      <c r="C28" s="18" t="s">
        <v>8</v>
      </c>
      <c r="D28" s="18" t="s">
        <v>29</v>
      </c>
      <c r="E28" s="18" t="s">
        <v>1315</v>
      </c>
      <c r="F28" s="18" t="s">
        <v>1316</v>
      </c>
      <c r="G28" s="19">
        <v>46188</v>
      </c>
      <c r="H28" s="18" t="s">
        <v>1033</v>
      </c>
      <c r="I28" s="18" t="s">
        <v>874</v>
      </c>
      <c r="J28" s="27" t="s">
        <v>1317</v>
      </c>
    </row>
    <row r="29" spans="1:10" x14ac:dyDescent="0.3">
      <c r="A29" s="24" t="s">
        <v>1308</v>
      </c>
      <c r="B29" s="18" t="s">
        <v>53</v>
      </c>
      <c r="C29" s="18" t="s">
        <v>8</v>
      </c>
      <c r="D29" s="18" t="s">
        <v>30</v>
      </c>
      <c r="E29" s="18" t="s">
        <v>1318</v>
      </c>
      <c r="F29" s="18" t="s">
        <v>1319</v>
      </c>
      <c r="G29" s="19">
        <v>46183</v>
      </c>
      <c r="H29" s="18" t="s">
        <v>893</v>
      </c>
      <c r="I29" s="18" t="s">
        <v>874</v>
      </c>
      <c r="J29" s="27" t="s">
        <v>1320</v>
      </c>
    </row>
    <row r="30" spans="1:10" x14ac:dyDescent="0.3">
      <c r="A30" s="24" t="s">
        <v>1308</v>
      </c>
      <c r="B30" s="18" t="s">
        <v>53</v>
      </c>
      <c r="C30" s="18" t="s">
        <v>8</v>
      </c>
      <c r="D30" s="18" t="s">
        <v>31</v>
      </c>
      <c r="E30" s="18" t="s">
        <v>1321</v>
      </c>
      <c r="F30" s="18" t="s">
        <v>1322</v>
      </c>
      <c r="G30" s="19">
        <v>46176</v>
      </c>
      <c r="H30" s="18" t="s">
        <v>1086</v>
      </c>
      <c r="I30" s="18" t="s">
        <v>874</v>
      </c>
      <c r="J30" s="27" t="s">
        <v>1323</v>
      </c>
    </row>
    <row r="31" spans="1:10" x14ac:dyDescent="0.3">
      <c r="A31" s="24" t="s">
        <v>1308</v>
      </c>
      <c r="B31" s="18" t="s">
        <v>53</v>
      </c>
      <c r="C31" s="18" t="s">
        <v>8</v>
      </c>
      <c r="D31" s="18" t="s">
        <v>32</v>
      </c>
      <c r="E31" s="18" t="s">
        <v>1321</v>
      </c>
      <c r="F31" s="18" t="s">
        <v>1322</v>
      </c>
      <c r="G31" s="19">
        <v>46177</v>
      </c>
      <c r="H31" s="18" t="s">
        <v>1125</v>
      </c>
      <c r="I31" s="18" t="s">
        <v>874</v>
      </c>
      <c r="J31" s="27" t="s">
        <v>1324</v>
      </c>
    </row>
    <row r="32" spans="1:10" x14ac:dyDescent="0.3">
      <c r="A32" s="24" t="s">
        <v>1325</v>
      </c>
      <c r="B32" s="18" t="s">
        <v>63</v>
      </c>
      <c r="C32" s="18" t="s">
        <v>9</v>
      </c>
      <c r="D32" s="18" t="s">
        <v>27</v>
      </c>
      <c r="E32" s="18" t="s">
        <v>1326</v>
      </c>
      <c r="F32" s="18" t="s">
        <v>1327</v>
      </c>
      <c r="G32" s="19">
        <v>46195</v>
      </c>
      <c r="H32" s="18" t="s">
        <v>959</v>
      </c>
      <c r="I32" s="18" t="s">
        <v>874</v>
      </c>
      <c r="J32" s="27" t="s">
        <v>1328</v>
      </c>
    </row>
    <row r="33" spans="1:10" x14ac:dyDescent="0.3">
      <c r="A33" s="24" t="s">
        <v>1325</v>
      </c>
      <c r="B33" s="18" t="s">
        <v>63</v>
      </c>
      <c r="C33" s="18" t="s">
        <v>9</v>
      </c>
      <c r="D33" s="18" t="s">
        <v>28</v>
      </c>
      <c r="E33" s="18" t="s">
        <v>1329</v>
      </c>
      <c r="F33" s="18" t="s">
        <v>1330</v>
      </c>
      <c r="G33" s="19">
        <v>46190</v>
      </c>
      <c r="H33" s="18" t="s">
        <v>998</v>
      </c>
      <c r="I33" s="18" t="s">
        <v>874</v>
      </c>
      <c r="J33" s="27" t="s">
        <v>1331</v>
      </c>
    </row>
    <row r="34" spans="1:10" x14ac:dyDescent="0.3">
      <c r="A34" s="24" t="s">
        <v>1325</v>
      </c>
      <c r="B34" s="18" t="s">
        <v>63</v>
      </c>
      <c r="C34" s="18" t="s">
        <v>9</v>
      </c>
      <c r="D34" s="18" t="s">
        <v>29</v>
      </c>
      <c r="E34" s="18" t="s">
        <v>1332</v>
      </c>
      <c r="F34" s="18" t="s">
        <v>1333</v>
      </c>
      <c r="G34" s="19">
        <v>46185</v>
      </c>
      <c r="H34" s="18" t="s">
        <v>1036</v>
      </c>
      <c r="I34" s="18" t="s">
        <v>874</v>
      </c>
      <c r="J34" s="27" t="s">
        <v>1334</v>
      </c>
    </row>
    <row r="35" spans="1:10" x14ac:dyDescent="0.3">
      <c r="A35" s="24" t="s">
        <v>1325</v>
      </c>
      <c r="B35" s="18" t="s">
        <v>63</v>
      </c>
      <c r="C35" s="18" t="s">
        <v>9</v>
      </c>
      <c r="D35" s="18" t="s">
        <v>30</v>
      </c>
      <c r="E35" s="18" t="s">
        <v>1335</v>
      </c>
      <c r="F35" s="18" t="s">
        <v>1336</v>
      </c>
      <c r="G35" s="19">
        <v>46180</v>
      </c>
      <c r="H35" s="18" t="s">
        <v>899</v>
      </c>
      <c r="I35" s="18" t="s">
        <v>874</v>
      </c>
      <c r="J35" s="27" t="s">
        <v>1337</v>
      </c>
    </row>
    <row r="36" spans="1:10" x14ac:dyDescent="0.3">
      <c r="A36" s="24" t="s">
        <v>1325</v>
      </c>
      <c r="B36" s="18" t="s">
        <v>63</v>
      </c>
      <c r="C36" s="18" t="s">
        <v>9</v>
      </c>
      <c r="D36" s="18" t="s">
        <v>31</v>
      </c>
      <c r="E36" s="18" t="s">
        <v>1338</v>
      </c>
      <c r="F36" s="18" t="s">
        <v>1339</v>
      </c>
      <c r="G36" s="19">
        <v>46173</v>
      </c>
      <c r="H36" s="18" t="s">
        <v>1089</v>
      </c>
      <c r="I36" s="18" t="s">
        <v>874</v>
      </c>
      <c r="J36" s="27" t="s">
        <v>1340</v>
      </c>
    </row>
    <row r="37" spans="1:10" x14ac:dyDescent="0.3">
      <c r="A37" s="24" t="s">
        <v>1325</v>
      </c>
      <c r="B37" s="18" t="s">
        <v>63</v>
      </c>
      <c r="C37" s="18" t="s">
        <v>9</v>
      </c>
      <c r="D37" s="18" t="s">
        <v>32</v>
      </c>
      <c r="E37" s="18" t="s">
        <v>1338</v>
      </c>
      <c r="F37" s="18" t="s">
        <v>1339</v>
      </c>
      <c r="G37" s="19">
        <v>46174</v>
      </c>
      <c r="H37" s="18" t="s">
        <v>1128</v>
      </c>
      <c r="I37" s="18" t="s">
        <v>874</v>
      </c>
      <c r="J37" s="27" t="s">
        <v>1341</v>
      </c>
    </row>
    <row r="38" spans="1:10" x14ac:dyDescent="0.3">
      <c r="A38" s="24" t="s">
        <v>1342</v>
      </c>
      <c r="B38" s="18" t="s">
        <v>73</v>
      </c>
      <c r="C38" s="18" t="s">
        <v>10</v>
      </c>
      <c r="D38" s="18" t="s">
        <v>27</v>
      </c>
      <c r="E38" s="18" t="s">
        <v>1343</v>
      </c>
      <c r="F38" s="18" t="s">
        <v>1344</v>
      </c>
      <c r="G38" s="19">
        <v>46196</v>
      </c>
      <c r="H38" s="18" t="s">
        <v>962</v>
      </c>
      <c r="I38" s="18" t="s">
        <v>874</v>
      </c>
      <c r="J38" s="27" t="s">
        <v>1345</v>
      </c>
    </row>
    <row r="39" spans="1:10" x14ac:dyDescent="0.3">
      <c r="A39" s="24" t="s">
        <v>1342</v>
      </c>
      <c r="B39" s="18" t="s">
        <v>73</v>
      </c>
      <c r="C39" s="18" t="s">
        <v>10</v>
      </c>
      <c r="D39" s="18" t="s">
        <v>28</v>
      </c>
      <c r="E39" s="18" t="s">
        <v>1346</v>
      </c>
      <c r="F39" s="18" t="s">
        <v>1347</v>
      </c>
      <c r="G39" s="19">
        <v>46191</v>
      </c>
      <c r="H39" s="18" t="s">
        <v>1001</v>
      </c>
      <c r="I39" s="18" t="s">
        <v>874</v>
      </c>
      <c r="J39" s="27" t="s">
        <v>1348</v>
      </c>
    </row>
    <row r="40" spans="1:10" x14ac:dyDescent="0.3">
      <c r="A40" s="24" t="s">
        <v>1342</v>
      </c>
      <c r="B40" s="18" t="s">
        <v>73</v>
      </c>
      <c r="C40" s="18" t="s">
        <v>10</v>
      </c>
      <c r="D40" s="18" t="s">
        <v>29</v>
      </c>
      <c r="E40" s="18" t="s">
        <v>1349</v>
      </c>
      <c r="F40" s="18" t="s">
        <v>1350</v>
      </c>
      <c r="G40" s="19">
        <v>46186</v>
      </c>
      <c r="H40" s="18" t="s">
        <v>1039</v>
      </c>
      <c r="I40" s="18" t="s">
        <v>874</v>
      </c>
      <c r="J40" s="27" t="s">
        <v>1351</v>
      </c>
    </row>
    <row r="41" spans="1:10" x14ac:dyDescent="0.3">
      <c r="A41" s="24" t="s">
        <v>1342</v>
      </c>
      <c r="B41" s="18" t="s">
        <v>73</v>
      </c>
      <c r="C41" s="18" t="s">
        <v>10</v>
      </c>
      <c r="D41" s="18" t="s">
        <v>30</v>
      </c>
      <c r="E41" s="18" t="s">
        <v>1352</v>
      </c>
      <c r="F41" s="18" t="s">
        <v>1353</v>
      </c>
      <c r="G41" s="19">
        <v>46181</v>
      </c>
      <c r="H41" s="18" t="s">
        <v>904</v>
      </c>
      <c r="I41" s="18" t="s">
        <v>874</v>
      </c>
      <c r="J41" s="27" t="s">
        <v>1354</v>
      </c>
    </row>
    <row r="42" spans="1:10" x14ac:dyDescent="0.3">
      <c r="A42" s="24" t="s">
        <v>1342</v>
      </c>
      <c r="B42" s="18" t="s">
        <v>73</v>
      </c>
      <c r="C42" s="18" t="s">
        <v>10</v>
      </c>
      <c r="D42" s="18" t="s">
        <v>31</v>
      </c>
      <c r="E42" s="18" t="s">
        <v>1355</v>
      </c>
      <c r="F42" s="18" t="s">
        <v>1356</v>
      </c>
      <c r="G42" s="19">
        <v>46174</v>
      </c>
      <c r="H42" s="18" t="s">
        <v>1092</v>
      </c>
      <c r="I42" s="18" t="s">
        <v>874</v>
      </c>
      <c r="J42" s="27" t="s">
        <v>1357</v>
      </c>
    </row>
    <row r="43" spans="1:10" x14ac:dyDescent="0.3">
      <c r="A43" s="24" t="s">
        <v>1342</v>
      </c>
      <c r="B43" s="18" t="s">
        <v>73</v>
      </c>
      <c r="C43" s="18" t="s">
        <v>10</v>
      </c>
      <c r="D43" s="18" t="s">
        <v>32</v>
      </c>
      <c r="E43" s="18" t="s">
        <v>1355</v>
      </c>
      <c r="F43" s="18" t="s">
        <v>1356</v>
      </c>
      <c r="G43" s="19">
        <v>46175</v>
      </c>
      <c r="H43" s="18" t="s">
        <v>1131</v>
      </c>
      <c r="I43" s="18" t="s">
        <v>874</v>
      </c>
      <c r="J43" s="27" t="s">
        <v>1358</v>
      </c>
    </row>
    <row r="44" spans="1:10" x14ac:dyDescent="0.3">
      <c r="A44" s="24" t="s">
        <v>1359</v>
      </c>
      <c r="B44" s="18" t="s">
        <v>88</v>
      </c>
      <c r="C44" s="18" t="s">
        <v>11</v>
      </c>
      <c r="D44" s="18" t="s">
        <v>27</v>
      </c>
      <c r="E44" s="18" t="s">
        <v>1360</v>
      </c>
      <c r="F44" s="18" t="s">
        <v>1361</v>
      </c>
      <c r="G44" s="19">
        <v>46194</v>
      </c>
      <c r="H44" s="18" t="s">
        <v>965</v>
      </c>
      <c r="I44" s="18" t="s">
        <v>874</v>
      </c>
      <c r="J44" s="27" t="s">
        <v>1362</v>
      </c>
    </row>
    <row r="45" spans="1:10" x14ac:dyDescent="0.3">
      <c r="A45" s="24" t="s">
        <v>1359</v>
      </c>
      <c r="B45" s="18" t="s">
        <v>88</v>
      </c>
      <c r="C45" s="18" t="s">
        <v>11</v>
      </c>
      <c r="D45" s="18" t="s">
        <v>28</v>
      </c>
      <c r="E45" s="18" t="s">
        <v>1363</v>
      </c>
      <c r="F45" s="18" t="s">
        <v>1364</v>
      </c>
      <c r="G45" s="19">
        <v>46189</v>
      </c>
      <c r="H45" s="18" t="s">
        <v>1004</v>
      </c>
      <c r="I45" s="18" t="s">
        <v>874</v>
      </c>
      <c r="J45" s="27" t="s">
        <v>1365</v>
      </c>
    </row>
    <row r="46" spans="1:10" x14ac:dyDescent="0.3">
      <c r="A46" s="24" t="s">
        <v>1359</v>
      </c>
      <c r="B46" s="18" t="s">
        <v>88</v>
      </c>
      <c r="C46" s="18" t="s">
        <v>11</v>
      </c>
      <c r="D46" s="18" t="s">
        <v>29</v>
      </c>
      <c r="E46" s="18" t="s">
        <v>1366</v>
      </c>
      <c r="F46" s="18" t="s">
        <v>1367</v>
      </c>
      <c r="G46" s="19">
        <v>46184</v>
      </c>
      <c r="H46" s="18" t="s">
        <v>1042</v>
      </c>
      <c r="I46" s="18" t="s">
        <v>874</v>
      </c>
      <c r="J46" s="27" t="s">
        <v>1368</v>
      </c>
    </row>
    <row r="47" spans="1:10" x14ac:dyDescent="0.3">
      <c r="A47" s="24" t="s">
        <v>1359</v>
      </c>
      <c r="B47" s="18" t="s">
        <v>88</v>
      </c>
      <c r="C47" s="18" t="s">
        <v>11</v>
      </c>
      <c r="D47" s="18" t="s">
        <v>30</v>
      </c>
      <c r="E47" s="18" t="s">
        <v>1369</v>
      </c>
      <c r="F47" s="18" t="s">
        <v>1370</v>
      </c>
      <c r="G47" s="19">
        <v>46179</v>
      </c>
      <c r="H47" s="18" t="s">
        <v>909</v>
      </c>
      <c r="I47" s="18" t="s">
        <v>874</v>
      </c>
      <c r="J47" s="27" t="s">
        <v>1371</v>
      </c>
    </row>
    <row r="48" spans="1:10" x14ac:dyDescent="0.3">
      <c r="A48" s="24" t="s">
        <v>1359</v>
      </c>
      <c r="B48" s="18" t="s">
        <v>88</v>
      </c>
      <c r="C48" s="18" t="s">
        <v>11</v>
      </c>
      <c r="D48" s="18" t="s">
        <v>31</v>
      </c>
      <c r="E48" s="18" t="s">
        <v>1372</v>
      </c>
      <c r="F48" s="18" t="s">
        <v>1373</v>
      </c>
      <c r="G48" s="19">
        <v>46172</v>
      </c>
      <c r="H48" s="18" t="s">
        <v>1095</v>
      </c>
      <c r="I48" s="18" t="s">
        <v>874</v>
      </c>
      <c r="J48" s="27" t="s">
        <v>1374</v>
      </c>
    </row>
    <row r="49" spans="1:10" x14ac:dyDescent="0.3">
      <c r="A49" s="24" t="s">
        <v>1359</v>
      </c>
      <c r="B49" s="18" t="s">
        <v>88</v>
      </c>
      <c r="C49" s="18" t="s">
        <v>11</v>
      </c>
      <c r="D49" s="18" t="s">
        <v>32</v>
      </c>
      <c r="E49" s="18" t="s">
        <v>1372</v>
      </c>
      <c r="F49" s="18" t="s">
        <v>1373</v>
      </c>
      <c r="G49" s="19">
        <v>46173</v>
      </c>
      <c r="H49" s="18" t="s">
        <v>1134</v>
      </c>
      <c r="I49" s="18" t="s">
        <v>874</v>
      </c>
      <c r="J49" s="27" t="s">
        <v>1375</v>
      </c>
    </row>
    <row r="50" spans="1:10" x14ac:dyDescent="0.3">
      <c r="A50" s="24" t="s">
        <v>1376</v>
      </c>
      <c r="B50" s="18" t="s">
        <v>93</v>
      </c>
      <c r="C50" s="18" t="s">
        <v>12</v>
      </c>
      <c r="D50" s="18" t="s">
        <v>27</v>
      </c>
      <c r="E50" s="18" t="s">
        <v>1377</v>
      </c>
      <c r="F50" s="18" t="s">
        <v>1378</v>
      </c>
      <c r="G50" s="19">
        <v>46197</v>
      </c>
      <c r="H50" s="18" t="s">
        <v>968</v>
      </c>
      <c r="I50" s="18" t="s">
        <v>874</v>
      </c>
      <c r="J50" s="27" t="s">
        <v>1379</v>
      </c>
    </row>
    <row r="51" spans="1:10" x14ac:dyDescent="0.3">
      <c r="A51" s="24" t="s">
        <v>1376</v>
      </c>
      <c r="B51" s="18" t="s">
        <v>93</v>
      </c>
      <c r="C51" s="18" t="s">
        <v>12</v>
      </c>
      <c r="D51" s="18" t="s">
        <v>28</v>
      </c>
      <c r="E51" s="18" t="s">
        <v>1380</v>
      </c>
      <c r="F51" s="18" t="s">
        <v>1381</v>
      </c>
      <c r="G51" s="19">
        <v>46192</v>
      </c>
      <c r="H51" s="18" t="s">
        <v>1007</v>
      </c>
      <c r="I51" s="18" t="s">
        <v>874</v>
      </c>
      <c r="J51" s="27" t="s">
        <v>1382</v>
      </c>
    </row>
    <row r="52" spans="1:10" x14ac:dyDescent="0.3">
      <c r="A52" s="24" t="s">
        <v>1376</v>
      </c>
      <c r="B52" s="18" t="s">
        <v>93</v>
      </c>
      <c r="C52" s="18" t="s">
        <v>12</v>
      </c>
      <c r="D52" s="18" t="s">
        <v>29</v>
      </c>
      <c r="E52" s="18" t="s">
        <v>1383</v>
      </c>
      <c r="F52" s="18" t="s">
        <v>1384</v>
      </c>
      <c r="G52" s="19">
        <v>46187</v>
      </c>
      <c r="H52" s="18" t="s">
        <v>1045</v>
      </c>
      <c r="I52" s="18" t="s">
        <v>874</v>
      </c>
      <c r="J52" s="27" t="s">
        <v>1385</v>
      </c>
    </row>
    <row r="53" spans="1:10" x14ac:dyDescent="0.3">
      <c r="A53" s="24" t="s">
        <v>1376</v>
      </c>
      <c r="B53" s="18" t="s">
        <v>93</v>
      </c>
      <c r="C53" s="18" t="s">
        <v>12</v>
      </c>
      <c r="D53" s="18" t="s">
        <v>30</v>
      </c>
      <c r="E53" s="18" t="s">
        <v>1386</v>
      </c>
      <c r="F53" s="18" t="s">
        <v>1387</v>
      </c>
      <c r="G53" s="19">
        <v>46182</v>
      </c>
      <c r="H53" s="18" t="s">
        <v>914</v>
      </c>
      <c r="I53" s="18" t="s">
        <v>874</v>
      </c>
      <c r="J53" s="27" t="s">
        <v>1388</v>
      </c>
    </row>
    <row r="54" spans="1:10" x14ac:dyDescent="0.3">
      <c r="A54" s="24" t="s">
        <v>1376</v>
      </c>
      <c r="B54" s="18" t="s">
        <v>93</v>
      </c>
      <c r="C54" s="18" t="s">
        <v>12</v>
      </c>
      <c r="D54" s="18" t="s">
        <v>31</v>
      </c>
      <c r="E54" s="18" t="s">
        <v>1389</v>
      </c>
      <c r="F54" s="18" t="s">
        <v>1390</v>
      </c>
      <c r="G54" s="19">
        <v>46175</v>
      </c>
      <c r="H54" s="18" t="s">
        <v>1098</v>
      </c>
      <c r="I54" s="18" t="s">
        <v>874</v>
      </c>
      <c r="J54" s="27" t="s">
        <v>1391</v>
      </c>
    </row>
    <row r="55" spans="1:10" x14ac:dyDescent="0.3">
      <c r="A55" s="24" t="s">
        <v>1376</v>
      </c>
      <c r="B55" s="18" t="s">
        <v>93</v>
      </c>
      <c r="C55" s="18" t="s">
        <v>12</v>
      </c>
      <c r="D55" s="18" t="s">
        <v>32</v>
      </c>
      <c r="E55" s="18" t="s">
        <v>1389</v>
      </c>
      <c r="F55" s="18" t="s">
        <v>1390</v>
      </c>
      <c r="G55" s="19">
        <v>46176</v>
      </c>
      <c r="H55" s="18" t="s">
        <v>1137</v>
      </c>
      <c r="I55" s="18" t="s">
        <v>874</v>
      </c>
      <c r="J55" s="27" t="s">
        <v>1392</v>
      </c>
    </row>
    <row r="56" spans="1:10" x14ac:dyDescent="0.3">
      <c r="A56" s="24" t="s">
        <v>1393</v>
      </c>
      <c r="B56" s="18" t="s">
        <v>66</v>
      </c>
      <c r="C56" s="18" t="s">
        <v>9</v>
      </c>
      <c r="D56" s="18" t="s">
        <v>27</v>
      </c>
      <c r="E56" s="18" t="s">
        <v>1394</v>
      </c>
      <c r="F56" s="18" t="s">
        <v>1395</v>
      </c>
      <c r="G56" s="19">
        <v>46195</v>
      </c>
      <c r="H56" s="18" t="s">
        <v>971</v>
      </c>
      <c r="I56" s="18" t="s">
        <v>874</v>
      </c>
      <c r="J56" s="27" t="s">
        <v>1396</v>
      </c>
    </row>
    <row r="57" spans="1:10" x14ac:dyDescent="0.3">
      <c r="A57" s="24" t="s">
        <v>1393</v>
      </c>
      <c r="B57" s="18" t="s">
        <v>66</v>
      </c>
      <c r="C57" s="18" t="s">
        <v>9</v>
      </c>
      <c r="D57" s="18" t="s">
        <v>28</v>
      </c>
      <c r="E57" s="18" t="s">
        <v>1397</v>
      </c>
      <c r="F57" s="18" t="s">
        <v>1398</v>
      </c>
      <c r="G57" s="19">
        <v>46190</v>
      </c>
      <c r="H57" s="18" t="s">
        <v>1010</v>
      </c>
      <c r="I57" s="18" t="s">
        <v>874</v>
      </c>
      <c r="J57" s="27" t="s">
        <v>1399</v>
      </c>
    </row>
    <row r="58" spans="1:10" x14ac:dyDescent="0.3">
      <c r="A58" s="24" t="s">
        <v>1393</v>
      </c>
      <c r="B58" s="18" t="s">
        <v>66</v>
      </c>
      <c r="C58" s="18" t="s">
        <v>9</v>
      </c>
      <c r="D58" s="18" t="s">
        <v>29</v>
      </c>
      <c r="E58" s="18" t="s">
        <v>1400</v>
      </c>
      <c r="F58" s="18" t="s">
        <v>1401</v>
      </c>
      <c r="G58" s="19">
        <v>46185</v>
      </c>
      <c r="H58" s="18" t="s">
        <v>1048</v>
      </c>
      <c r="I58" s="18" t="s">
        <v>874</v>
      </c>
      <c r="J58" s="27" t="s">
        <v>1402</v>
      </c>
    </row>
    <row r="59" spans="1:10" x14ac:dyDescent="0.3">
      <c r="A59" s="24" t="s">
        <v>1393</v>
      </c>
      <c r="B59" s="18" t="s">
        <v>66</v>
      </c>
      <c r="C59" s="18" t="s">
        <v>9</v>
      </c>
      <c r="D59" s="18" t="s">
        <v>30</v>
      </c>
      <c r="E59" s="18" t="s">
        <v>1403</v>
      </c>
      <c r="F59" s="18" t="s">
        <v>1404</v>
      </c>
      <c r="G59" s="19">
        <v>46180</v>
      </c>
      <c r="H59" s="18" t="s">
        <v>920</v>
      </c>
      <c r="I59" s="18" t="s">
        <v>874</v>
      </c>
      <c r="J59" s="27" t="s">
        <v>1405</v>
      </c>
    </row>
    <row r="60" spans="1:10" x14ac:dyDescent="0.3">
      <c r="A60" s="24" t="s">
        <v>1393</v>
      </c>
      <c r="B60" s="18" t="s">
        <v>66</v>
      </c>
      <c r="C60" s="18" t="s">
        <v>9</v>
      </c>
      <c r="D60" s="18" t="s">
        <v>31</v>
      </c>
      <c r="E60" s="18" t="s">
        <v>1406</v>
      </c>
      <c r="F60" s="18" t="s">
        <v>1407</v>
      </c>
      <c r="G60" s="19">
        <v>46173</v>
      </c>
      <c r="H60" s="18" t="s">
        <v>1101</v>
      </c>
      <c r="I60" s="18" t="s">
        <v>874</v>
      </c>
      <c r="J60" s="27" t="s">
        <v>1408</v>
      </c>
    </row>
    <row r="61" spans="1:10" x14ac:dyDescent="0.3">
      <c r="A61" s="24" t="s">
        <v>1393</v>
      </c>
      <c r="B61" s="18" t="s">
        <v>66</v>
      </c>
      <c r="C61" s="18" t="s">
        <v>9</v>
      </c>
      <c r="D61" s="18" t="s">
        <v>32</v>
      </c>
      <c r="E61" s="18" t="s">
        <v>1406</v>
      </c>
      <c r="F61" s="18" t="s">
        <v>1407</v>
      </c>
      <c r="G61" s="19">
        <v>46174</v>
      </c>
      <c r="H61" s="18" t="s">
        <v>1140</v>
      </c>
      <c r="I61" s="18" t="s">
        <v>874</v>
      </c>
      <c r="J61" s="27" t="s">
        <v>1409</v>
      </c>
    </row>
    <row r="62" spans="1:10" x14ac:dyDescent="0.3">
      <c r="A62" s="24" t="s">
        <v>1410</v>
      </c>
      <c r="B62" s="18" t="s">
        <v>17</v>
      </c>
      <c r="C62" s="18" t="s">
        <v>5</v>
      </c>
      <c r="D62" s="18" t="s">
        <v>27</v>
      </c>
      <c r="E62" s="18" t="s">
        <v>1411</v>
      </c>
      <c r="F62" s="18" t="s">
        <v>1412</v>
      </c>
      <c r="G62" s="19">
        <v>46193</v>
      </c>
      <c r="H62" s="18" t="s">
        <v>974</v>
      </c>
      <c r="I62" s="18" t="s">
        <v>874</v>
      </c>
      <c r="J62" s="27" t="s">
        <v>1413</v>
      </c>
    </row>
    <row r="63" spans="1:10" x14ac:dyDescent="0.3">
      <c r="A63" s="24" t="s">
        <v>1410</v>
      </c>
      <c r="B63" s="18" t="s">
        <v>17</v>
      </c>
      <c r="C63" s="18" t="s">
        <v>5</v>
      </c>
      <c r="D63" s="18" t="s">
        <v>28</v>
      </c>
      <c r="E63" s="18" t="s">
        <v>1414</v>
      </c>
      <c r="F63" s="18" t="s">
        <v>1415</v>
      </c>
      <c r="G63" s="19">
        <v>46188</v>
      </c>
      <c r="H63" s="18" t="s">
        <v>1013</v>
      </c>
      <c r="I63" s="18" t="s">
        <v>874</v>
      </c>
      <c r="J63" s="27" t="s">
        <v>1416</v>
      </c>
    </row>
    <row r="64" spans="1:10" x14ac:dyDescent="0.3">
      <c r="A64" s="24" t="s">
        <v>1410</v>
      </c>
      <c r="B64" s="18" t="s">
        <v>17</v>
      </c>
      <c r="C64" s="18" t="s">
        <v>5</v>
      </c>
      <c r="D64" s="18" t="s">
        <v>29</v>
      </c>
      <c r="E64" s="18" t="s">
        <v>1417</v>
      </c>
      <c r="F64" s="18" t="s">
        <v>1418</v>
      </c>
      <c r="G64" s="19">
        <v>46183</v>
      </c>
      <c r="H64" s="18" t="s">
        <v>1051</v>
      </c>
      <c r="I64" s="18" t="s">
        <v>874</v>
      </c>
      <c r="J64" s="27" t="s">
        <v>1419</v>
      </c>
    </row>
    <row r="65" spans="1:10" x14ac:dyDescent="0.3">
      <c r="A65" s="24" t="s">
        <v>1410</v>
      </c>
      <c r="B65" s="18" t="s">
        <v>17</v>
      </c>
      <c r="C65" s="18" t="s">
        <v>5</v>
      </c>
      <c r="D65" s="18" t="s">
        <v>30</v>
      </c>
      <c r="E65" s="18" t="s">
        <v>1420</v>
      </c>
      <c r="F65" s="18" t="s">
        <v>1421</v>
      </c>
      <c r="G65" s="19">
        <v>46178</v>
      </c>
      <c r="H65" s="18" t="s">
        <v>925</v>
      </c>
      <c r="I65" s="18" t="s">
        <v>874</v>
      </c>
      <c r="J65" s="27" t="s">
        <v>1422</v>
      </c>
    </row>
    <row r="66" spans="1:10" x14ac:dyDescent="0.3">
      <c r="A66" s="24" t="s">
        <v>1410</v>
      </c>
      <c r="B66" s="18" t="s">
        <v>17</v>
      </c>
      <c r="C66" s="18" t="s">
        <v>5</v>
      </c>
      <c r="D66" s="18" t="s">
        <v>31</v>
      </c>
      <c r="E66" s="18" t="s">
        <v>1423</v>
      </c>
      <c r="F66" s="18" t="s">
        <v>1424</v>
      </c>
      <c r="G66" s="19">
        <v>46170</v>
      </c>
      <c r="H66" s="18" t="s">
        <v>1104</v>
      </c>
      <c r="I66" s="18" t="s">
        <v>874</v>
      </c>
      <c r="J66" s="27" t="s">
        <v>1425</v>
      </c>
    </row>
    <row r="67" spans="1:10" x14ac:dyDescent="0.3">
      <c r="A67" s="24" t="s">
        <v>1410</v>
      </c>
      <c r="B67" s="18" t="s">
        <v>17</v>
      </c>
      <c r="C67" s="18" t="s">
        <v>5</v>
      </c>
      <c r="D67" s="18" t="s">
        <v>32</v>
      </c>
      <c r="E67" s="18" t="s">
        <v>1423</v>
      </c>
      <c r="F67" s="18" t="s">
        <v>1424</v>
      </c>
      <c r="G67" s="19">
        <v>46171</v>
      </c>
      <c r="H67" s="18" t="s">
        <v>1143</v>
      </c>
      <c r="I67" s="18" t="s">
        <v>874</v>
      </c>
      <c r="J67" s="27" t="s">
        <v>1426</v>
      </c>
    </row>
    <row r="68" spans="1:10" x14ac:dyDescent="0.3">
      <c r="A68" s="24" t="s">
        <v>1427</v>
      </c>
      <c r="B68" s="18" t="s">
        <v>45</v>
      </c>
      <c r="C68" s="18" t="s">
        <v>7</v>
      </c>
      <c r="D68" s="18" t="s">
        <v>27</v>
      </c>
      <c r="E68" s="18" t="s">
        <v>1428</v>
      </c>
      <c r="F68" s="18" t="s">
        <v>1429</v>
      </c>
      <c r="G68" s="19">
        <v>46196</v>
      </c>
      <c r="H68" s="18" t="s">
        <v>977</v>
      </c>
      <c r="I68" s="18" t="s">
        <v>874</v>
      </c>
      <c r="J68" s="27" t="s">
        <v>1430</v>
      </c>
    </row>
    <row r="69" spans="1:10" x14ac:dyDescent="0.3">
      <c r="A69" s="24" t="s">
        <v>1427</v>
      </c>
      <c r="B69" s="18" t="s">
        <v>45</v>
      </c>
      <c r="C69" s="18" t="s">
        <v>7</v>
      </c>
      <c r="D69" s="18" t="s">
        <v>28</v>
      </c>
      <c r="E69" s="18" t="s">
        <v>1431</v>
      </c>
      <c r="F69" s="18" t="s">
        <v>1432</v>
      </c>
      <c r="G69" s="19">
        <v>46191</v>
      </c>
      <c r="H69" s="18" t="s">
        <v>1016</v>
      </c>
      <c r="I69" s="18" t="s">
        <v>874</v>
      </c>
      <c r="J69" s="27" t="s">
        <v>1433</v>
      </c>
    </row>
    <row r="70" spans="1:10" x14ac:dyDescent="0.3">
      <c r="A70" s="24" t="s">
        <v>1427</v>
      </c>
      <c r="B70" s="18" t="s">
        <v>45</v>
      </c>
      <c r="C70" s="18" t="s">
        <v>7</v>
      </c>
      <c r="D70" s="18" t="s">
        <v>29</v>
      </c>
      <c r="E70" s="18" t="s">
        <v>1434</v>
      </c>
      <c r="F70" s="18" t="s">
        <v>1435</v>
      </c>
      <c r="G70" s="19">
        <v>46186</v>
      </c>
      <c r="H70" s="18" t="s">
        <v>1054</v>
      </c>
      <c r="I70" s="18" t="s">
        <v>874</v>
      </c>
      <c r="J70" s="27" t="s">
        <v>1300</v>
      </c>
    </row>
    <row r="71" spans="1:10" x14ac:dyDescent="0.3">
      <c r="A71" s="24" t="s">
        <v>1427</v>
      </c>
      <c r="B71" s="18" t="s">
        <v>45</v>
      </c>
      <c r="C71" s="18" t="s">
        <v>7</v>
      </c>
      <c r="D71" s="18" t="s">
        <v>30</v>
      </c>
      <c r="E71" s="18" t="s">
        <v>1436</v>
      </c>
      <c r="F71" s="18" t="s">
        <v>1437</v>
      </c>
      <c r="G71" s="19">
        <v>46181</v>
      </c>
      <c r="H71" s="18" t="s">
        <v>930</v>
      </c>
      <c r="I71" s="18" t="s">
        <v>874</v>
      </c>
      <c r="J71" s="27" t="s">
        <v>1438</v>
      </c>
    </row>
    <row r="72" spans="1:10" x14ac:dyDescent="0.3">
      <c r="A72" s="24" t="s">
        <v>1427</v>
      </c>
      <c r="B72" s="18" t="s">
        <v>45</v>
      </c>
      <c r="C72" s="18" t="s">
        <v>7</v>
      </c>
      <c r="D72" s="18" t="s">
        <v>31</v>
      </c>
      <c r="E72" s="18" t="s">
        <v>1439</v>
      </c>
      <c r="F72" s="18" t="s">
        <v>1440</v>
      </c>
      <c r="G72" s="19">
        <v>46174</v>
      </c>
      <c r="H72" s="18" t="s">
        <v>1107</v>
      </c>
      <c r="I72" s="18" t="s">
        <v>874</v>
      </c>
      <c r="J72" s="27" t="s">
        <v>1441</v>
      </c>
    </row>
    <row r="73" spans="1:10" x14ac:dyDescent="0.3">
      <c r="A73" s="24" t="s">
        <v>1427</v>
      </c>
      <c r="B73" s="18" t="s">
        <v>45</v>
      </c>
      <c r="C73" s="18" t="s">
        <v>7</v>
      </c>
      <c r="D73" s="18" t="s">
        <v>32</v>
      </c>
      <c r="E73" s="18" t="s">
        <v>1439</v>
      </c>
      <c r="F73" s="18" t="s">
        <v>1440</v>
      </c>
      <c r="G73" s="19">
        <v>46175</v>
      </c>
      <c r="H73" s="18" t="s">
        <v>1146</v>
      </c>
      <c r="I73" s="18" t="s">
        <v>874</v>
      </c>
      <c r="J73" s="27" t="s">
        <v>1442</v>
      </c>
    </row>
    <row r="74" spans="1:10" x14ac:dyDescent="0.3">
      <c r="A74" s="24" t="s">
        <v>1443</v>
      </c>
      <c r="B74" s="18" t="s">
        <v>54</v>
      </c>
      <c r="C74" s="18" t="s">
        <v>8</v>
      </c>
      <c r="D74" s="18" t="s">
        <v>27</v>
      </c>
      <c r="E74" s="18" t="s">
        <v>1444</v>
      </c>
      <c r="F74" s="18" t="s">
        <v>1445</v>
      </c>
      <c r="G74" s="19">
        <v>46194</v>
      </c>
      <c r="H74" s="18" t="s">
        <v>941</v>
      </c>
      <c r="I74" s="18" t="s">
        <v>874</v>
      </c>
      <c r="J74" s="27" t="s">
        <v>1446</v>
      </c>
    </row>
    <row r="75" spans="1:10" x14ac:dyDescent="0.3">
      <c r="A75" s="24" t="s">
        <v>1443</v>
      </c>
      <c r="B75" s="18" t="s">
        <v>54</v>
      </c>
      <c r="C75" s="18" t="s">
        <v>8</v>
      </c>
      <c r="D75" s="18" t="s">
        <v>28</v>
      </c>
      <c r="E75" s="18" t="s">
        <v>1447</v>
      </c>
      <c r="F75" s="18" t="s">
        <v>1448</v>
      </c>
      <c r="G75" s="19">
        <v>46189</v>
      </c>
      <c r="H75" s="18" t="s">
        <v>980</v>
      </c>
      <c r="I75" s="18" t="s">
        <v>874</v>
      </c>
      <c r="J75" s="27" t="s">
        <v>1311</v>
      </c>
    </row>
    <row r="76" spans="1:10" x14ac:dyDescent="0.3">
      <c r="A76" s="24" t="s">
        <v>1443</v>
      </c>
      <c r="B76" s="18" t="s">
        <v>54</v>
      </c>
      <c r="C76" s="18" t="s">
        <v>8</v>
      </c>
      <c r="D76" s="18" t="s">
        <v>29</v>
      </c>
      <c r="E76" s="18" t="s">
        <v>1449</v>
      </c>
      <c r="F76" s="18" t="s">
        <v>1450</v>
      </c>
      <c r="G76" s="19">
        <v>46184</v>
      </c>
      <c r="H76" s="18" t="s">
        <v>643</v>
      </c>
      <c r="I76" s="18" t="s">
        <v>874</v>
      </c>
      <c r="J76" s="27" t="s">
        <v>1451</v>
      </c>
    </row>
    <row r="77" spans="1:10" x14ac:dyDescent="0.3">
      <c r="A77" s="24" t="s">
        <v>1443</v>
      </c>
      <c r="B77" s="18" t="s">
        <v>54</v>
      </c>
      <c r="C77" s="18" t="s">
        <v>8</v>
      </c>
      <c r="D77" s="18" t="s">
        <v>30</v>
      </c>
      <c r="E77" s="18" t="s">
        <v>1452</v>
      </c>
      <c r="F77" s="18" t="s">
        <v>1453</v>
      </c>
      <c r="G77" s="19">
        <v>46179</v>
      </c>
      <c r="H77" s="18" t="s">
        <v>870</v>
      </c>
      <c r="I77" s="18" t="s">
        <v>874</v>
      </c>
      <c r="J77" s="27" t="s">
        <v>1286</v>
      </c>
    </row>
    <row r="78" spans="1:10" x14ac:dyDescent="0.3">
      <c r="A78" s="24" t="s">
        <v>1443</v>
      </c>
      <c r="B78" s="18" t="s">
        <v>54</v>
      </c>
      <c r="C78" s="18" t="s">
        <v>8</v>
      </c>
      <c r="D78" s="18" t="s">
        <v>31</v>
      </c>
      <c r="E78" s="18" t="s">
        <v>1454</v>
      </c>
      <c r="F78" s="18" t="s">
        <v>1455</v>
      </c>
      <c r="G78" s="19">
        <v>46172</v>
      </c>
      <c r="H78" s="18" t="s">
        <v>1071</v>
      </c>
      <c r="I78" s="18" t="s">
        <v>874</v>
      </c>
      <c r="J78" s="27" t="s">
        <v>1456</v>
      </c>
    </row>
    <row r="79" spans="1:10" x14ac:dyDescent="0.3">
      <c r="A79" s="24" t="s">
        <v>1443</v>
      </c>
      <c r="B79" s="18" t="s">
        <v>54</v>
      </c>
      <c r="C79" s="18" t="s">
        <v>8</v>
      </c>
      <c r="D79" s="18" t="s">
        <v>32</v>
      </c>
      <c r="E79" s="18" t="s">
        <v>1454</v>
      </c>
      <c r="F79" s="18" t="s">
        <v>1455</v>
      </c>
      <c r="G79" s="19">
        <v>46173</v>
      </c>
      <c r="H79" s="18" t="s">
        <v>1110</v>
      </c>
      <c r="I79" s="18" t="s">
        <v>874</v>
      </c>
      <c r="J79" s="27" t="s">
        <v>1457</v>
      </c>
    </row>
    <row r="80" spans="1:10" x14ac:dyDescent="0.3">
      <c r="A80" s="24" t="s">
        <v>1458</v>
      </c>
      <c r="B80" s="18" t="s">
        <v>74</v>
      </c>
      <c r="C80" s="18" t="s">
        <v>10</v>
      </c>
      <c r="D80" s="18" t="s">
        <v>27</v>
      </c>
      <c r="E80" s="18" t="s">
        <v>1459</v>
      </c>
      <c r="F80" s="18" t="s">
        <v>1460</v>
      </c>
      <c r="G80" s="19">
        <v>46197</v>
      </c>
      <c r="H80" s="18" t="s">
        <v>947</v>
      </c>
      <c r="I80" s="18" t="s">
        <v>874</v>
      </c>
      <c r="J80" s="27" t="s">
        <v>1461</v>
      </c>
    </row>
    <row r="81" spans="1:10" x14ac:dyDescent="0.3">
      <c r="A81" s="24" t="s">
        <v>1458</v>
      </c>
      <c r="B81" s="18" t="s">
        <v>74</v>
      </c>
      <c r="C81" s="18" t="s">
        <v>10</v>
      </c>
      <c r="D81" s="18" t="s">
        <v>28</v>
      </c>
      <c r="E81" s="18" t="s">
        <v>1462</v>
      </c>
      <c r="F81" s="18" t="s">
        <v>1463</v>
      </c>
      <c r="G81" s="19">
        <v>46192</v>
      </c>
      <c r="H81" s="18" t="s">
        <v>986</v>
      </c>
      <c r="I81" s="18" t="s">
        <v>874</v>
      </c>
      <c r="J81" s="27" t="s">
        <v>1464</v>
      </c>
    </row>
    <row r="82" spans="1:10" x14ac:dyDescent="0.3">
      <c r="A82" s="24" t="s">
        <v>1458</v>
      </c>
      <c r="B82" s="18" t="s">
        <v>74</v>
      </c>
      <c r="C82" s="18" t="s">
        <v>10</v>
      </c>
      <c r="D82" s="18" t="s">
        <v>29</v>
      </c>
      <c r="E82" s="18" t="s">
        <v>1465</v>
      </c>
      <c r="F82" s="18" t="s">
        <v>1466</v>
      </c>
      <c r="G82" s="19">
        <v>46187</v>
      </c>
      <c r="H82" s="18" t="s">
        <v>1024</v>
      </c>
      <c r="I82" s="18" t="s">
        <v>874</v>
      </c>
      <c r="J82" s="27" t="s">
        <v>1467</v>
      </c>
    </row>
    <row r="83" spans="1:10" x14ac:dyDescent="0.3">
      <c r="A83" s="24" t="s">
        <v>1458</v>
      </c>
      <c r="B83" s="18" t="s">
        <v>74</v>
      </c>
      <c r="C83" s="18" t="s">
        <v>10</v>
      </c>
      <c r="D83" s="18" t="s">
        <v>30</v>
      </c>
      <c r="E83" s="18" t="s">
        <v>1468</v>
      </c>
      <c r="F83" s="18" t="s">
        <v>1469</v>
      </c>
      <c r="G83" s="19">
        <v>46182</v>
      </c>
      <c r="H83" s="18" t="s">
        <v>877</v>
      </c>
      <c r="I83" s="18" t="s">
        <v>874</v>
      </c>
      <c r="J83" s="27" t="s">
        <v>1470</v>
      </c>
    </row>
    <row r="84" spans="1:10" x14ac:dyDescent="0.3">
      <c r="A84" s="24" t="s">
        <v>1458</v>
      </c>
      <c r="B84" s="18" t="s">
        <v>74</v>
      </c>
      <c r="C84" s="18" t="s">
        <v>10</v>
      </c>
      <c r="D84" s="18" t="s">
        <v>31</v>
      </c>
      <c r="E84" s="18" t="s">
        <v>1471</v>
      </c>
      <c r="F84" s="18" t="s">
        <v>1472</v>
      </c>
      <c r="G84" s="19">
        <v>46175</v>
      </c>
      <c r="H84" s="18" t="s">
        <v>1077</v>
      </c>
      <c r="I84" s="18" t="s">
        <v>874</v>
      </c>
      <c r="J84" s="27" t="s">
        <v>1473</v>
      </c>
    </row>
    <row r="85" spans="1:10" x14ac:dyDescent="0.3">
      <c r="A85" s="24" t="s">
        <v>1458</v>
      </c>
      <c r="B85" s="18" t="s">
        <v>74</v>
      </c>
      <c r="C85" s="18" t="s">
        <v>10</v>
      </c>
      <c r="D85" s="18" t="s">
        <v>32</v>
      </c>
      <c r="E85" s="18" t="s">
        <v>1471</v>
      </c>
      <c r="F85" s="18" t="s">
        <v>1472</v>
      </c>
      <c r="G85" s="19">
        <v>46176</v>
      </c>
      <c r="H85" s="18" t="s">
        <v>1116</v>
      </c>
      <c r="I85" s="18" t="s">
        <v>874</v>
      </c>
      <c r="J85" s="27" t="s">
        <v>1474</v>
      </c>
    </row>
    <row r="86" spans="1:10" x14ac:dyDescent="0.3">
      <c r="A86" s="24" t="s">
        <v>1475</v>
      </c>
      <c r="B86" s="18" t="s">
        <v>84</v>
      </c>
      <c r="C86" s="18" t="s">
        <v>11</v>
      </c>
      <c r="D86" s="18" t="s">
        <v>27</v>
      </c>
      <c r="E86" s="18" t="s">
        <v>1476</v>
      </c>
      <c r="F86" s="18" t="s">
        <v>1477</v>
      </c>
      <c r="G86" s="19">
        <v>46195</v>
      </c>
      <c r="H86" s="18" t="s">
        <v>950</v>
      </c>
      <c r="I86" s="18" t="s">
        <v>874</v>
      </c>
      <c r="J86" s="27" t="s">
        <v>1478</v>
      </c>
    </row>
    <row r="87" spans="1:10" x14ac:dyDescent="0.3">
      <c r="A87" s="24" t="s">
        <v>1475</v>
      </c>
      <c r="B87" s="18" t="s">
        <v>84</v>
      </c>
      <c r="C87" s="18" t="s">
        <v>11</v>
      </c>
      <c r="D87" s="18" t="s">
        <v>28</v>
      </c>
      <c r="E87" s="18" t="s">
        <v>1284</v>
      </c>
      <c r="F87" s="18" t="s">
        <v>1479</v>
      </c>
      <c r="G87" s="19">
        <v>46190</v>
      </c>
      <c r="H87" s="18" t="s">
        <v>989</v>
      </c>
      <c r="I87" s="18" t="s">
        <v>874</v>
      </c>
      <c r="J87" s="27" t="s">
        <v>1480</v>
      </c>
    </row>
    <row r="88" spans="1:10" x14ac:dyDescent="0.3">
      <c r="A88" s="24" t="s">
        <v>1475</v>
      </c>
      <c r="B88" s="18" t="s">
        <v>84</v>
      </c>
      <c r="C88" s="18" t="s">
        <v>11</v>
      </c>
      <c r="D88" s="18" t="s">
        <v>29</v>
      </c>
      <c r="E88" s="18" t="s">
        <v>1481</v>
      </c>
      <c r="F88" s="18" t="s">
        <v>1482</v>
      </c>
      <c r="G88" s="19">
        <v>46185</v>
      </c>
      <c r="H88" s="18" t="s">
        <v>1027</v>
      </c>
      <c r="I88" s="18" t="s">
        <v>874</v>
      </c>
      <c r="J88" s="27" t="s">
        <v>1483</v>
      </c>
    </row>
    <row r="89" spans="1:10" x14ac:dyDescent="0.3">
      <c r="A89" s="24" t="s">
        <v>1475</v>
      </c>
      <c r="B89" s="18" t="s">
        <v>84</v>
      </c>
      <c r="C89" s="18" t="s">
        <v>11</v>
      </c>
      <c r="D89" s="18" t="s">
        <v>30</v>
      </c>
      <c r="E89" s="18" t="s">
        <v>1484</v>
      </c>
      <c r="F89" s="18" t="s">
        <v>1485</v>
      </c>
      <c r="G89" s="19">
        <v>46180</v>
      </c>
      <c r="H89" s="18" t="s">
        <v>882</v>
      </c>
      <c r="I89" s="18" t="s">
        <v>874</v>
      </c>
      <c r="J89" s="27" t="s">
        <v>1486</v>
      </c>
    </row>
    <row r="90" spans="1:10" x14ac:dyDescent="0.3">
      <c r="A90" s="24" t="s">
        <v>1475</v>
      </c>
      <c r="B90" s="18" t="s">
        <v>84</v>
      </c>
      <c r="C90" s="18" t="s">
        <v>11</v>
      </c>
      <c r="D90" s="18" t="s">
        <v>31</v>
      </c>
      <c r="E90" s="18" t="s">
        <v>1487</v>
      </c>
      <c r="F90" s="18" t="s">
        <v>1488</v>
      </c>
      <c r="G90" s="19">
        <v>46173</v>
      </c>
      <c r="H90" s="18" t="s">
        <v>1080</v>
      </c>
      <c r="I90" s="18" t="s">
        <v>874</v>
      </c>
      <c r="J90" s="27" t="s">
        <v>1489</v>
      </c>
    </row>
    <row r="91" spans="1:10" x14ac:dyDescent="0.3">
      <c r="A91" s="24" t="s">
        <v>1475</v>
      </c>
      <c r="B91" s="18" t="s">
        <v>84</v>
      </c>
      <c r="C91" s="18" t="s">
        <v>11</v>
      </c>
      <c r="D91" s="18" t="s">
        <v>32</v>
      </c>
      <c r="E91" s="18" t="s">
        <v>1487</v>
      </c>
      <c r="F91" s="18" t="s">
        <v>1488</v>
      </c>
      <c r="G91" s="19">
        <v>46174</v>
      </c>
      <c r="H91" s="18" t="s">
        <v>1119</v>
      </c>
      <c r="I91" s="18" t="s">
        <v>874</v>
      </c>
      <c r="J91" s="27" t="s">
        <v>1490</v>
      </c>
    </row>
    <row r="92" spans="1:10" x14ac:dyDescent="0.3">
      <c r="A92" s="24" t="s">
        <v>1491</v>
      </c>
      <c r="B92" s="18" t="s">
        <v>97</v>
      </c>
      <c r="C92" s="18" t="s">
        <v>12</v>
      </c>
      <c r="D92" s="18" t="s">
        <v>27</v>
      </c>
      <c r="E92" s="18" t="s">
        <v>1492</v>
      </c>
      <c r="F92" s="18" t="s">
        <v>1493</v>
      </c>
      <c r="G92" s="19">
        <v>46196</v>
      </c>
      <c r="H92" s="18" t="s">
        <v>953</v>
      </c>
      <c r="I92" s="18" t="s">
        <v>874</v>
      </c>
      <c r="J92" s="27" t="s">
        <v>1494</v>
      </c>
    </row>
    <row r="93" spans="1:10" x14ac:dyDescent="0.3">
      <c r="A93" s="24" t="s">
        <v>1491</v>
      </c>
      <c r="B93" s="18" t="s">
        <v>97</v>
      </c>
      <c r="C93" s="18" t="s">
        <v>12</v>
      </c>
      <c r="D93" s="18" t="s">
        <v>28</v>
      </c>
      <c r="E93" s="18" t="s">
        <v>1495</v>
      </c>
      <c r="F93" s="18" t="s">
        <v>1496</v>
      </c>
      <c r="G93" s="19">
        <v>46191</v>
      </c>
      <c r="H93" s="18" t="s">
        <v>992</v>
      </c>
      <c r="I93" s="18" t="s">
        <v>874</v>
      </c>
      <c r="J93" s="27" t="s">
        <v>1497</v>
      </c>
    </row>
    <row r="94" spans="1:10" x14ac:dyDescent="0.3">
      <c r="A94" s="24" t="s">
        <v>1491</v>
      </c>
      <c r="B94" s="18" t="s">
        <v>97</v>
      </c>
      <c r="C94" s="18" t="s">
        <v>12</v>
      </c>
      <c r="D94" s="18" t="s">
        <v>29</v>
      </c>
      <c r="E94" s="18" t="s">
        <v>1498</v>
      </c>
      <c r="F94" s="18" t="s">
        <v>1499</v>
      </c>
      <c r="G94" s="19">
        <v>46186</v>
      </c>
      <c r="H94" s="18" t="s">
        <v>1030</v>
      </c>
      <c r="I94" s="18" t="s">
        <v>874</v>
      </c>
      <c r="J94" s="27" t="s">
        <v>1500</v>
      </c>
    </row>
    <row r="95" spans="1:10" x14ac:dyDescent="0.3">
      <c r="A95" s="24" t="s">
        <v>1491</v>
      </c>
      <c r="B95" s="18" t="s">
        <v>97</v>
      </c>
      <c r="C95" s="18" t="s">
        <v>12</v>
      </c>
      <c r="D95" s="18" t="s">
        <v>30</v>
      </c>
      <c r="E95" s="18" t="s">
        <v>1501</v>
      </c>
      <c r="F95" s="18" t="s">
        <v>1502</v>
      </c>
      <c r="G95" s="19">
        <v>46181</v>
      </c>
      <c r="H95" s="18" t="s">
        <v>888</v>
      </c>
      <c r="I95" s="18" t="s">
        <v>874</v>
      </c>
      <c r="J95" s="27" t="s">
        <v>1503</v>
      </c>
    </row>
    <row r="96" spans="1:10" x14ac:dyDescent="0.3">
      <c r="A96" s="24" t="s">
        <v>1491</v>
      </c>
      <c r="B96" s="18" t="s">
        <v>97</v>
      </c>
      <c r="C96" s="18" t="s">
        <v>12</v>
      </c>
      <c r="D96" s="18" t="s">
        <v>31</v>
      </c>
      <c r="E96" s="18" t="s">
        <v>1504</v>
      </c>
      <c r="F96" s="18" t="s">
        <v>1505</v>
      </c>
      <c r="G96" s="19">
        <v>46174</v>
      </c>
      <c r="H96" s="18" t="s">
        <v>1083</v>
      </c>
      <c r="I96" s="18" t="s">
        <v>874</v>
      </c>
      <c r="J96" s="27" t="s">
        <v>1506</v>
      </c>
    </row>
    <row r="97" spans="1:10" x14ac:dyDescent="0.3">
      <c r="A97" s="24" t="s">
        <v>1491</v>
      </c>
      <c r="B97" s="18" t="s">
        <v>97</v>
      </c>
      <c r="C97" s="18" t="s">
        <v>12</v>
      </c>
      <c r="D97" s="18" t="s">
        <v>32</v>
      </c>
      <c r="E97" s="18" t="s">
        <v>1504</v>
      </c>
      <c r="F97" s="18" t="s">
        <v>1505</v>
      </c>
      <c r="G97" s="19">
        <v>46175</v>
      </c>
      <c r="H97" s="18" t="s">
        <v>1122</v>
      </c>
      <c r="I97" s="18" t="s">
        <v>874</v>
      </c>
      <c r="J97" s="27" t="s">
        <v>1507</v>
      </c>
    </row>
    <row r="98" spans="1:10" x14ac:dyDescent="0.3">
      <c r="A98" s="24" t="s">
        <v>1508</v>
      </c>
      <c r="B98" s="18" t="s">
        <v>35</v>
      </c>
      <c r="C98" s="18" t="s">
        <v>6</v>
      </c>
      <c r="D98" s="18" t="s">
        <v>27</v>
      </c>
      <c r="E98" s="18" t="s">
        <v>1509</v>
      </c>
      <c r="F98" s="18" t="s">
        <v>1510</v>
      </c>
      <c r="G98" s="19">
        <v>46194</v>
      </c>
      <c r="H98" s="18" t="s">
        <v>956</v>
      </c>
      <c r="I98" s="18" t="s">
        <v>874</v>
      </c>
      <c r="J98" s="27" t="s">
        <v>1511</v>
      </c>
    </row>
    <row r="99" spans="1:10" x14ac:dyDescent="0.3">
      <c r="A99" s="24" t="s">
        <v>1508</v>
      </c>
      <c r="B99" s="18" t="s">
        <v>35</v>
      </c>
      <c r="C99" s="18" t="s">
        <v>6</v>
      </c>
      <c r="D99" s="18" t="s">
        <v>28</v>
      </c>
      <c r="E99" s="18" t="s">
        <v>1244</v>
      </c>
      <c r="F99" s="18" t="s">
        <v>1512</v>
      </c>
      <c r="G99" s="19">
        <v>46189</v>
      </c>
      <c r="H99" s="18" t="s">
        <v>995</v>
      </c>
      <c r="I99" s="18" t="s">
        <v>874</v>
      </c>
      <c r="J99" s="27" t="s">
        <v>1513</v>
      </c>
    </row>
    <row r="100" spans="1:10" x14ac:dyDescent="0.3">
      <c r="A100" s="24" t="s">
        <v>1508</v>
      </c>
      <c r="B100" s="18" t="s">
        <v>35</v>
      </c>
      <c r="C100" s="18" t="s">
        <v>6</v>
      </c>
      <c r="D100" s="18" t="s">
        <v>29</v>
      </c>
      <c r="E100" s="18" t="s">
        <v>1514</v>
      </c>
      <c r="F100" s="18" t="s">
        <v>1515</v>
      </c>
      <c r="G100" s="19">
        <v>46184</v>
      </c>
      <c r="H100" s="18" t="s">
        <v>1033</v>
      </c>
      <c r="I100" s="18" t="s">
        <v>874</v>
      </c>
      <c r="J100" s="27" t="s">
        <v>1516</v>
      </c>
    </row>
    <row r="101" spans="1:10" x14ac:dyDescent="0.3">
      <c r="A101" s="24" t="s">
        <v>1508</v>
      </c>
      <c r="B101" s="18" t="s">
        <v>35</v>
      </c>
      <c r="C101" s="18" t="s">
        <v>6</v>
      </c>
      <c r="D101" s="18" t="s">
        <v>30</v>
      </c>
      <c r="E101" s="18" t="s">
        <v>1247</v>
      </c>
      <c r="F101" s="18" t="s">
        <v>1517</v>
      </c>
      <c r="G101" s="19">
        <v>46179</v>
      </c>
      <c r="H101" s="18" t="s">
        <v>893</v>
      </c>
      <c r="I101" s="18" t="s">
        <v>874</v>
      </c>
      <c r="J101" s="27" t="s">
        <v>1518</v>
      </c>
    </row>
    <row r="102" spans="1:10" x14ac:dyDescent="0.3">
      <c r="A102" s="24" t="s">
        <v>1508</v>
      </c>
      <c r="B102" s="18" t="s">
        <v>35</v>
      </c>
      <c r="C102" s="18" t="s">
        <v>6</v>
      </c>
      <c r="D102" s="18" t="s">
        <v>31</v>
      </c>
      <c r="E102" s="18" t="s">
        <v>1519</v>
      </c>
      <c r="F102" s="18" t="s">
        <v>1520</v>
      </c>
      <c r="G102" s="19">
        <v>46172</v>
      </c>
      <c r="H102" s="18" t="s">
        <v>1086</v>
      </c>
      <c r="I102" s="18" t="s">
        <v>874</v>
      </c>
      <c r="J102" s="27" t="s">
        <v>1521</v>
      </c>
    </row>
    <row r="103" spans="1:10" x14ac:dyDescent="0.3">
      <c r="A103" s="24" t="s">
        <v>1508</v>
      </c>
      <c r="B103" s="18" t="s">
        <v>35</v>
      </c>
      <c r="C103" s="18" t="s">
        <v>6</v>
      </c>
      <c r="D103" s="18" t="s">
        <v>32</v>
      </c>
      <c r="E103" s="18" t="s">
        <v>1519</v>
      </c>
      <c r="F103" s="18" t="s">
        <v>1520</v>
      </c>
      <c r="G103" s="19">
        <v>46173</v>
      </c>
      <c r="H103" s="18" t="s">
        <v>1125</v>
      </c>
      <c r="I103" s="18" t="s">
        <v>874</v>
      </c>
      <c r="J103" s="27" t="s">
        <v>1522</v>
      </c>
    </row>
    <row r="104" spans="1:10" x14ac:dyDescent="0.3">
      <c r="A104" s="24" t="s">
        <v>1523</v>
      </c>
      <c r="B104" s="18" t="s">
        <v>72</v>
      </c>
      <c r="C104" s="18" t="s">
        <v>9</v>
      </c>
      <c r="D104" s="18" t="s">
        <v>27</v>
      </c>
      <c r="E104" s="18" t="s">
        <v>1524</v>
      </c>
      <c r="F104" s="18" t="s">
        <v>1525</v>
      </c>
      <c r="G104" s="19">
        <v>46197</v>
      </c>
      <c r="H104" s="18" t="s">
        <v>959</v>
      </c>
      <c r="I104" s="18" t="s">
        <v>874</v>
      </c>
      <c r="J104" s="27" t="s">
        <v>1526</v>
      </c>
    </row>
    <row r="105" spans="1:10" x14ac:dyDescent="0.3">
      <c r="A105" s="24" t="s">
        <v>1523</v>
      </c>
      <c r="B105" s="18" t="s">
        <v>72</v>
      </c>
      <c r="C105" s="18" t="s">
        <v>9</v>
      </c>
      <c r="D105" s="18" t="s">
        <v>28</v>
      </c>
      <c r="E105" s="18" t="s">
        <v>1527</v>
      </c>
      <c r="F105" s="18" t="s">
        <v>1528</v>
      </c>
      <c r="G105" s="19">
        <v>46192</v>
      </c>
      <c r="H105" s="18" t="s">
        <v>998</v>
      </c>
      <c r="I105" s="18" t="s">
        <v>874</v>
      </c>
      <c r="J105" s="27" t="s">
        <v>1529</v>
      </c>
    </row>
    <row r="106" spans="1:10" x14ac:dyDescent="0.3">
      <c r="A106" s="24" t="s">
        <v>1523</v>
      </c>
      <c r="B106" s="18" t="s">
        <v>72</v>
      </c>
      <c r="C106" s="18" t="s">
        <v>9</v>
      </c>
      <c r="D106" s="18" t="s">
        <v>29</v>
      </c>
      <c r="E106" s="18" t="s">
        <v>1530</v>
      </c>
      <c r="F106" s="18" t="s">
        <v>1531</v>
      </c>
      <c r="G106" s="19">
        <v>46187</v>
      </c>
      <c r="H106" s="18" t="s">
        <v>1036</v>
      </c>
      <c r="I106" s="18" t="s">
        <v>874</v>
      </c>
      <c r="J106" s="27" t="s">
        <v>1532</v>
      </c>
    </row>
    <row r="107" spans="1:10" x14ac:dyDescent="0.3">
      <c r="A107" s="24" t="s">
        <v>1523</v>
      </c>
      <c r="B107" s="18" t="s">
        <v>72</v>
      </c>
      <c r="C107" s="18" t="s">
        <v>9</v>
      </c>
      <c r="D107" s="18" t="s">
        <v>30</v>
      </c>
      <c r="E107" s="18" t="s">
        <v>1533</v>
      </c>
      <c r="F107" s="18" t="s">
        <v>1534</v>
      </c>
      <c r="G107" s="19">
        <v>46182</v>
      </c>
      <c r="H107" s="18" t="s">
        <v>899</v>
      </c>
      <c r="I107" s="18" t="s">
        <v>874</v>
      </c>
      <c r="J107" s="27" t="s">
        <v>1535</v>
      </c>
    </row>
    <row r="108" spans="1:10" x14ac:dyDescent="0.3">
      <c r="A108" s="24" t="s">
        <v>1523</v>
      </c>
      <c r="B108" s="18" t="s">
        <v>72</v>
      </c>
      <c r="C108" s="18" t="s">
        <v>9</v>
      </c>
      <c r="D108" s="18" t="s">
        <v>31</v>
      </c>
      <c r="E108" s="18" t="s">
        <v>1536</v>
      </c>
      <c r="F108" s="18" t="s">
        <v>1537</v>
      </c>
      <c r="G108" s="19">
        <v>46175</v>
      </c>
      <c r="H108" s="18" t="s">
        <v>1089</v>
      </c>
      <c r="I108" s="18" t="s">
        <v>874</v>
      </c>
      <c r="J108" s="27" t="s">
        <v>1538</v>
      </c>
    </row>
    <row r="109" spans="1:10" x14ac:dyDescent="0.3">
      <c r="A109" s="24" t="s">
        <v>1523</v>
      </c>
      <c r="B109" s="18" t="s">
        <v>72</v>
      </c>
      <c r="C109" s="18" t="s">
        <v>9</v>
      </c>
      <c r="D109" s="18" t="s">
        <v>32</v>
      </c>
      <c r="E109" s="18" t="s">
        <v>1536</v>
      </c>
      <c r="F109" s="18" t="s">
        <v>1537</v>
      </c>
      <c r="G109" s="19">
        <v>46176</v>
      </c>
      <c r="H109" s="18" t="s">
        <v>1128</v>
      </c>
      <c r="I109" s="18" t="s">
        <v>874</v>
      </c>
      <c r="J109" s="27" t="s">
        <v>1539</v>
      </c>
    </row>
    <row r="110" spans="1:10" x14ac:dyDescent="0.3">
      <c r="A110" s="24" t="s">
        <v>1540</v>
      </c>
      <c r="B110" s="18" t="s">
        <v>15</v>
      </c>
      <c r="C110" s="18" t="s">
        <v>5</v>
      </c>
      <c r="D110" s="18" t="s">
        <v>27</v>
      </c>
      <c r="E110" s="18" t="s">
        <v>1541</v>
      </c>
      <c r="F110" s="18" t="s">
        <v>1542</v>
      </c>
      <c r="G110" s="19">
        <v>46193</v>
      </c>
      <c r="H110" s="18" t="s">
        <v>962</v>
      </c>
      <c r="I110" s="18" t="s">
        <v>874</v>
      </c>
      <c r="J110" s="27" t="s">
        <v>1543</v>
      </c>
    </row>
    <row r="111" spans="1:10" x14ac:dyDescent="0.3">
      <c r="A111" s="24" t="s">
        <v>1540</v>
      </c>
      <c r="B111" s="18" t="s">
        <v>15</v>
      </c>
      <c r="C111" s="18" t="s">
        <v>5</v>
      </c>
      <c r="D111" s="18" t="s">
        <v>28</v>
      </c>
      <c r="E111" s="18" t="s">
        <v>1544</v>
      </c>
      <c r="F111" s="18" t="s">
        <v>1545</v>
      </c>
      <c r="G111" s="19">
        <v>46188</v>
      </c>
      <c r="H111" s="18" t="s">
        <v>1001</v>
      </c>
      <c r="I111" s="18" t="s">
        <v>874</v>
      </c>
      <c r="J111" s="27" t="s">
        <v>1546</v>
      </c>
    </row>
    <row r="112" spans="1:10" x14ac:dyDescent="0.3">
      <c r="A112" s="24" t="s">
        <v>1540</v>
      </c>
      <c r="B112" s="18" t="s">
        <v>15</v>
      </c>
      <c r="C112" s="18" t="s">
        <v>5</v>
      </c>
      <c r="D112" s="18" t="s">
        <v>29</v>
      </c>
      <c r="E112" s="18" t="s">
        <v>1547</v>
      </c>
      <c r="F112" s="18" t="s">
        <v>1548</v>
      </c>
      <c r="G112" s="19">
        <v>46183</v>
      </c>
      <c r="H112" s="18" t="s">
        <v>1039</v>
      </c>
      <c r="I112" s="18" t="s">
        <v>874</v>
      </c>
      <c r="J112" s="27" t="s">
        <v>1549</v>
      </c>
    </row>
    <row r="113" spans="1:10" x14ac:dyDescent="0.3">
      <c r="A113" s="24" t="s">
        <v>1540</v>
      </c>
      <c r="B113" s="18" t="s">
        <v>15</v>
      </c>
      <c r="C113" s="18" t="s">
        <v>5</v>
      </c>
      <c r="D113" s="18" t="s">
        <v>30</v>
      </c>
      <c r="E113" s="18" t="s">
        <v>1550</v>
      </c>
      <c r="F113" s="18" t="s">
        <v>1551</v>
      </c>
      <c r="G113" s="19">
        <v>46178</v>
      </c>
      <c r="H113" s="18" t="s">
        <v>904</v>
      </c>
      <c r="I113" s="18" t="s">
        <v>874</v>
      </c>
      <c r="J113" s="27" t="s">
        <v>1552</v>
      </c>
    </row>
    <row r="114" spans="1:10" x14ac:dyDescent="0.3">
      <c r="A114" s="24" t="s">
        <v>1540</v>
      </c>
      <c r="B114" s="18" t="s">
        <v>15</v>
      </c>
      <c r="C114" s="18" t="s">
        <v>5</v>
      </c>
      <c r="D114" s="18" t="s">
        <v>31</v>
      </c>
      <c r="E114" s="18" t="s">
        <v>1553</v>
      </c>
      <c r="F114" s="18" t="s">
        <v>1554</v>
      </c>
      <c r="G114" s="19">
        <v>46170</v>
      </c>
      <c r="H114" s="18" t="s">
        <v>1092</v>
      </c>
      <c r="I114" s="18" t="s">
        <v>874</v>
      </c>
      <c r="J114" s="27" t="s">
        <v>1555</v>
      </c>
    </row>
    <row r="115" spans="1:10" x14ac:dyDescent="0.3">
      <c r="A115" s="24" t="s">
        <v>1540</v>
      </c>
      <c r="B115" s="18" t="s">
        <v>15</v>
      </c>
      <c r="C115" s="18" t="s">
        <v>5</v>
      </c>
      <c r="D115" s="18" t="s">
        <v>32</v>
      </c>
      <c r="E115" s="18" t="s">
        <v>1553</v>
      </c>
      <c r="F115" s="18" t="s">
        <v>1554</v>
      </c>
      <c r="G115" s="19">
        <v>46171</v>
      </c>
      <c r="H115" s="18" t="s">
        <v>1131</v>
      </c>
      <c r="I115" s="18" t="s">
        <v>874</v>
      </c>
      <c r="J115" s="27" t="s">
        <v>1556</v>
      </c>
    </row>
    <row r="116" spans="1:10" x14ac:dyDescent="0.3">
      <c r="A116" s="24" t="s">
        <v>1557</v>
      </c>
      <c r="B116" s="18" t="s">
        <v>47</v>
      </c>
      <c r="C116" s="18" t="s">
        <v>7</v>
      </c>
      <c r="D116" s="18" t="s">
        <v>27</v>
      </c>
      <c r="E116" s="18" t="s">
        <v>1558</v>
      </c>
      <c r="F116" s="18" t="s">
        <v>1559</v>
      </c>
      <c r="G116" s="19">
        <v>46196</v>
      </c>
      <c r="H116" s="18" t="s">
        <v>965</v>
      </c>
      <c r="I116" s="18" t="s">
        <v>874</v>
      </c>
      <c r="J116" s="27" t="s">
        <v>1560</v>
      </c>
    </row>
    <row r="117" spans="1:10" x14ac:dyDescent="0.3">
      <c r="A117" s="24" t="s">
        <v>1557</v>
      </c>
      <c r="B117" s="18" t="s">
        <v>47</v>
      </c>
      <c r="C117" s="18" t="s">
        <v>7</v>
      </c>
      <c r="D117" s="18" t="s">
        <v>28</v>
      </c>
      <c r="E117" s="18" t="s">
        <v>1318</v>
      </c>
      <c r="F117" s="18" t="s">
        <v>1561</v>
      </c>
      <c r="G117" s="19">
        <v>46191</v>
      </c>
      <c r="H117" s="18" t="s">
        <v>1004</v>
      </c>
      <c r="I117" s="18" t="s">
        <v>874</v>
      </c>
      <c r="J117" s="27" t="s">
        <v>1562</v>
      </c>
    </row>
    <row r="118" spans="1:10" x14ac:dyDescent="0.3">
      <c r="A118" s="24" t="s">
        <v>1557</v>
      </c>
      <c r="B118" s="18" t="s">
        <v>47</v>
      </c>
      <c r="C118" s="18" t="s">
        <v>7</v>
      </c>
      <c r="D118" s="18" t="s">
        <v>29</v>
      </c>
      <c r="E118" s="18" t="s">
        <v>1563</v>
      </c>
      <c r="F118" s="18" t="s">
        <v>1564</v>
      </c>
      <c r="G118" s="19">
        <v>46186</v>
      </c>
      <c r="H118" s="18" t="s">
        <v>1042</v>
      </c>
      <c r="I118" s="18" t="s">
        <v>874</v>
      </c>
      <c r="J118" s="27" t="s">
        <v>1565</v>
      </c>
    </row>
    <row r="119" spans="1:10" x14ac:dyDescent="0.3">
      <c r="A119" s="24" t="s">
        <v>1557</v>
      </c>
      <c r="B119" s="18" t="s">
        <v>47</v>
      </c>
      <c r="C119" s="18" t="s">
        <v>7</v>
      </c>
      <c r="D119" s="18" t="s">
        <v>30</v>
      </c>
      <c r="E119" s="18" t="s">
        <v>1566</v>
      </c>
      <c r="F119" s="18" t="s">
        <v>1567</v>
      </c>
      <c r="G119" s="19">
        <v>46181</v>
      </c>
      <c r="H119" s="18" t="s">
        <v>909</v>
      </c>
      <c r="I119" s="18" t="s">
        <v>874</v>
      </c>
      <c r="J119" s="27" t="s">
        <v>1568</v>
      </c>
    </row>
    <row r="120" spans="1:10" x14ac:dyDescent="0.3">
      <c r="A120" s="24" t="s">
        <v>1557</v>
      </c>
      <c r="B120" s="18" t="s">
        <v>47</v>
      </c>
      <c r="C120" s="18" t="s">
        <v>7</v>
      </c>
      <c r="D120" s="18" t="s">
        <v>31</v>
      </c>
      <c r="E120" s="18" t="s">
        <v>1569</v>
      </c>
      <c r="F120" s="18" t="s">
        <v>1570</v>
      </c>
      <c r="G120" s="19">
        <v>46174</v>
      </c>
      <c r="H120" s="18" t="s">
        <v>1095</v>
      </c>
      <c r="I120" s="18" t="s">
        <v>874</v>
      </c>
      <c r="J120" s="27" t="s">
        <v>1571</v>
      </c>
    </row>
    <row r="121" spans="1:10" x14ac:dyDescent="0.3">
      <c r="A121" s="24" t="s">
        <v>1557</v>
      </c>
      <c r="B121" s="18" t="s">
        <v>47</v>
      </c>
      <c r="C121" s="18" t="s">
        <v>7</v>
      </c>
      <c r="D121" s="18" t="s">
        <v>32</v>
      </c>
      <c r="E121" s="18" t="s">
        <v>1569</v>
      </c>
      <c r="F121" s="18" t="s">
        <v>1570</v>
      </c>
      <c r="G121" s="19">
        <v>46175</v>
      </c>
      <c r="H121" s="18" t="s">
        <v>1134</v>
      </c>
      <c r="I121" s="18" t="s">
        <v>874</v>
      </c>
      <c r="J121" s="27" t="s">
        <v>1572</v>
      </c>
    </row>
    <row r="122" spans="1:10" x14ac:dyDescent="0.3">
      <c r="A122" s="24" t="s">
        <v>1573</v>
      </c>
      <c r="B122" s="18" t="s">
        <v>65</v>
      </c>
      <c r="C122" s="18" t="s">
        <v>9</v>
      </c>
      <c r="D122" s="18" t="s">
        <v>27</v>
      </c>
      <c r="E122" s="18" t="s">
        <v>1574</v>
      </c>
      <c r="F122" s="18" t="s">
        <v>1575</v>
      </c>
      <c r="G122" s="19">
        <v>46195</v>
      </c>
      <c r="H122" s="18" t="s">
        <v>968</v>
      </c>
      <c r="I122" s="18" t="s">
        <v>874</v>
      </c>
      <c r="J122" s="27" t="s">
        <v>1576</v>
      </c>
    </row>
    <row r="123" spans="1:10" x14ac:dyDescent="0.3">
      <c r="A123" s="24" t="s">
        <v>1573</v>
      </c>
      <c r="B123" s="18" t="s">
        <v>65</v>
      </c>
      <c r="C123" s="18" t="s">
        <v>9</v>
      </c>
      <c r="D123" s="18" t="s">
        <v>28</v>
      </c>
      <c r="E123" s="18" t="s">
        <v>1577</v>
      </c>
      <c r="F123" s="18" t="s">
        <v>1578</v>
      </c>
      <c r="G123" s="19">
        <v>46190</v>
      </c>
      <c r="H123" s="18" t="s">
        <v>1007</v>
      </c>
      <c r="I123" s="18" t="s">
        <v>874</v>
      </c>
      <c r="J123" s="27" t="s">
        <v>1579</v>
      </c>
    </row>
    <row r="124" spans="1:10" x14ac:dyDescent="0.3">
      <c r="A124" s="24" t="s">
        <v>1573</v>
      </c>
      <c r="B124" s="18" t="s">
        <v>65</v>
      </c>
      <c r="C124" s="18" t="s">
        <v>9</v>
      </c>
      <c r="D124" s="18" t="s">
        <v>29</v>
      </c>
      <c r="E124" s="18" t="s">
        <v>1580</v>
      </c>
      <c r="F124" s="18" t="s">
        <v>1581</v>
      </c>
      <c r="G124" s="19">
        <v>46185</v>
      </c>
      <c r="H124" s="18" t="s">
        <v>1045</v>
      </c>
      <c r="I124" s="18" t="s">
        <v>874</v>
      </c>
      <c r="J124" s="27" t="s">
        <v>1582</v>
      </c>
    </row>
    <row r="125" spans="1:10" x14ac:dyDescent="0.3">
      <c r="A125" s="24" t="s">
        <v>1573</v>
      </c>
      <c r="B125" s="18" t="s">
        <v>65</v>
      </c>
      <c r="C125" s="18" t="s">
        <v>9</v>
      </c>
      <c r="D125" s="18" t="s">
        <v>30</v>
      </c>
      <c r="E125" s="18" t="s">
        <v>1583</v>
      </c>
      <c r="F125" s="18" t="s">
        <v>1584</v>
      </c>
      <c r="G125" s="19">
        <v>46180</v>
      </c>
      <c r="H125" s="18" t="s">
        <v>914</v>
      </c>
      <c r="I125" s="18" t="s">
        <v>874</v>
      </c>
      <c r="J125" s="27" t="s">
        <v>1585</v>
      </c>
    </row>
    <row r="126" spans="1:10" x14ac:dyDescent="0.3">
      <c r="A126" s="24" t="s">
        <v>1573</v>
      </c>
      <c r="B126" s="18" t="s">
        <v>65</v>
      </c>
      <c r="C126" s="18" t="s">
        <v>9</v>
      </c>
      <c r="D126" s="18" t="s">
        <v>31</v>
      </c>
      <c r="E126" s="18" t="s">
        <v>1586</v>
      </c>
      <c r="F126" s="18" t="s">
        <v>1587</v>
      </c>
      <c r="G126" s="19">
        <v>46173</v>
      </c>
      <c r="H126" s="18" t="s">
        <v>1098</v>
      </c>
      <c r="I126" s="18" t="s">
        <v>874</v>
      </c>
      <c r="J126" s="27" t="s">
        <v>1588</v>
      </c>
    </row>
    <row r="127" spans="1:10" x14ac:dyDescent="0.3">
      <c r="A127" s="24" t="s">
        <v>1573</v>
      </c>
      <c r="B127" s="18" t="s">
        <v>65</v>
      </c>
      <c r="C127" s="18" t="s">
        <v>9</v>
      </c>
      <c r="D127" s="18" t="s">
        <v>32</v>
      </c>
      <c r="E127" s="18" t="s">
        <v>1586</v>
      </c>
      <c r="F127" s="18" t="s">
        <v>1587</v>
      </c>
      <c r="G127" s="19">
        <v>46174</v>
      </c>
      <c r="H127" s="18" t="s">
        <v>1137</v>
      </c>
      <c r="I127" s="18" t="s">
        <v>874</v>
      </c>
      <c r="J127" s="27" t="s">
        <v>1589</v>
      </c>
    </row>
    <row r="128" spans="1:10" x14ac:dyDescent="0.3">
      <c r="A128" s="24" t="s">
        <v>1590</v>
      </c>
      <c r="B128" s="18" t="s">
        <v>94</v>
      </c>
      <c r="C128" s="18" t="s">
        <v>12</v>
      </c>
      <c r="D128" s="18" t="s">
        <v>27</v>
      </c>
      <c r="E128" s="18" t="s">
        <v>1591</v>
      </c>
      <c r="F128" s="18" t="s">
        <v>1592</v>
      </c>
      <c r="G128" s="19">
        <v>46197</v>
      </c>
      <c r="H128" s="18" t="s">
        <v>971</v>
      </c>
      <c r="I128" s="18" t="s">
        <v>874</v>
      </c>
      <c r="J128" s="27" t="s">
        <v>1593</v>
      </c>
    </row>
    <row r="129" spans="1:10" x14ac:dyDescent="0.3">
      <c r="A129" s="24" t="s">
        <v>1590</v>
      </c>
      <c r="B129" s="18" t="s">
        <v>94</v>
      </c>
      <c r="C129" s="18" t="s">
        <v>12</v>
      </c>
      <c r="D129" s="18" t="s">
        <v>28</v>
      </c>
      <c r="E129" s="18" t="s">
        <v>1594</v>
      </c>
      <c r="F129" s="18" t="s">
        <v>1595</v>
      </c>
      <c r="G129" s="19">
        <v>46192</v>
      </c>
      <c r="H129" s="18" t="s">
        <v>1010</v>
      </c>
      <c r="I129" s="18" t="s">
        <v>874</v>
      </c>
      <c r="J129" s="27" t="s">
        <v>1596</v>
      </c>
    </row>
    <row r="130" spans="1:10" x14ac:dyDescent="0.3">
      <c r="A130" s="24" t="s">
        <v>1590</v>
      </c>
      <c r="B130" s="18" t="s">
        <v>94</v>
      </c>
      <c r="C130" s="18" t="s">
        <v>12</v>
      </c>
      <c r="D130" s="18" t="s">
        <v>29</v>
      </c>
      <c r="E130" s="18" t="s">
        <v>1597</v>
      </c>
      <c r="F130" s="18" t="s">
        <v>1598</v>
      </c>
      <c r="G130" s="19">
        <v>46187</v>
      </c>
      <c r="H130" s="18" t="s">
        <v>1048</v>
      </c>
      <c r="I130" s="18" t="s">
        <v>874</v>
      </c>
      <c r="J130" s="27" t="s">
        <v>1599</v>
      </c>
    </row>
    <row r="131" spans="1:10" x14ac:dyDescent="0.3">
      <c r="A131" s="24" t="s">
        <v>1590</v>
      </c>
      <c r="B131" s="18" t="s">
        <v>94</v>
      </c>
      <c r="C131" s="18" t="s">
        <v>12</v>
      </c>
      <c r="D131" s="18" t="s">
        <v>30</v>
      </c>
      <c r="E131" s="18" t="s">
        <v>1600</v>
      </c>
      <c r="F131" s="18" t="s">
        <v>1601</v>
      </c>
      <c r="G131" s="19">
        <v>46182</v>
      </c>
      <c r="H131" s="18" t="s">
        <v>920</v>
      </c>
      <c r="I131" s="18" t="s">
        <v>874</v>
      </c>
      <c r="J131" s="27" t="s">
        <v>1602</v>
      </c>
    </row>
    <row r="132" spans="1:10" x14ac:dyDescent="0.3">
      <c r="A132" s="24" t="s">
        <v>1590</v>
      </c>
      <c r="B132" s="18" t="s">
        <v>94</v>
      </c>
      <c r="C132" s="18" t="s">
        <v>12</v>
      </c>
      <c r="D132" s="18" t="s">
        <v>31</v>
      </c>
      <c r="E132" s="18" t="s">
        <v>1603</v>
      </c>
      <c r="F132" s="18" t="s">
        <v>1604</v>
      </c>
      <c r="G132" s="19">
        <v>46175</v>
      </c>
      <c r="H132" s="18" t="s">
        <v>1101</v>
      </c>
      <c r="I132" s="18" t="s">
        <v>874</v>
      </c>
      <c r="J132" s="27" t="s">
        <v>1605</v>
      </c>
    </row>
    <row r="133" spans="1:10" x14ac:dyDescent="0.3">
      <c r="A133" s="24" t="s">
        <v>1590</v>
      </c>
      <c r="B133" s="18" t="s">
        <v>94</v>
      </c>
      <c r="C133" s="18" t="s">
        <v>12</v>
      </c>
      <c r="D133" s="18" t="s">
        <v>32</v>
      </c>
      <c r="E133" s="18" t="s">
        <v>1603</v>
      </c>
      <c r="F133" s="18" t="s">
        <v>1604</v>
      </c>
      <c r="G133" s="19">
        <v>46176</v>
      </c>
      <c r="H133" s="18" t="s">
        <v>1140</v>
      </c>
      <c r="I133" s="18" t="s">
        <v>874</v>
      </c>
      <c r="J133" s="27" t="s">
        <v>1606</v>
      </c>
    </row>
    <row r="134" spans="1:10" x14ac:dyDescent="0.3">
      <c r="A134" s="24" t="s">
        <v>1607</v>
      </c>
      <c r="B134" s="18" t="s">
        <v>75</v>
      </c>
      <c r="C134" s="18" t="s">
        <v>10</v>
      </c>
      <c r="D134" s="18" t="s">
        <v>27</v>
      </c>
      <c r="E134" s="18" t="s">
        <v>1608</v>
      </c>
      <c r="F134" s="18" t="s">
        <v>1609</v>
      </c>
      <c r="G134" s="19">
        <v>46194</v>
      </c>
      <c r="H134" s="18" t="s">
        <v>974</v>
      </c>
      <c r="I134" s="18" t="s">
        <v>874</v>
      </c>
      <c r="J134" s="27" t="s">
        <v>1610</v>
      </c>
    </row>
    <row r="135" spans="1:10" x14ac:dyDescent="0.3">
      <c r="A135" s="24" t="s">
        <v>1607</v>
      </c>
      <c r="B135" s="18" t="s">
        <v>75</v>
      </c>
      <c r="C135" s="18" t="s">
        <v>10</v>
      </c>
      <c r="D135" s="18" t="s">
        <v>28</v>
      </c>
      <c r="E135" s="18" t="s">
        <v>1611</v>
      </c>
      <c r="F135" s="18" t="s">
        <v>1612</v>
      </c>
      <c r="G135" s="19">
        <v>46189</v>
      </c>
      <c r="H135" s="18" t="s">
        <v>1013</v>
      </c>
      <c r="I135" s="18" t="s">
        <v>874</v>
      </c>
      <c r="J135" s="27" t="s">
        <v>1613</v>
      </c>
    </row>
    <row r="136" spans="1:10" x14ac:dyDescent="0.3">
      <c r="A136" s="24" t="s">
        <v>1607</v>
      </c>
      <c r="B136" s="18" t="s">
        <v>75</v>
      </c>
      <c r="C136" s="18" t="s">
        <v>10</v>
      </c>
      <c r="D136" s="18" t="s">
        <v>29</v>
      </c>
      <c r="E136" s="18" t="s">
        <v>1614</v>
      </c>
      <c r="F136" s="18" t="s">
        <v>1615</v>
      </c>
      <c r="G136" s="19">
        <v>46184</v>
      </c>
      <c r="H136" s="18" t="s">
        <v>1051</v>
      </c>
      <c r="I136" s="18" t="s">
        <v>874</v>
      </c>
      <c r="J136" s="27" t="s">
        <v>1616</v>
      </c>
    </row>
    <row r="137" spans="1:10" x14ac:dyDescent="0.3">
      <c r="A137" s="24" t="s">
        <v>1607</v>
      </c>
      <c r="B137" s="18" t="s">
        <v>75</v>
      </c>
      <c r="C137" s="18" t="s">
        <v>10</v>
      </c>
      <c r="D137" s="18" t="s">
        <v>30</v>
      </c>
      <c r="E137" s="18" t="s">
        <v>1617</v>
      </c>
      <c r="F137" s="18" t="s">
        <v>1618</v>
      </c>
      <c r="G137" s="19">
        <v>46179</v>
      </c>
      <c r="H137" s="18" t="s">
        <v>925</v>
      </c>
      <c r="I137" s="18" t="s">
        <v>874</v>
      </c>
      <c r="J137" s="27" t="s">
        <v>1619</v>
      </c>
    </row>
    <row r="138" spans="1:10" x14ac:dyDescent="0.3">
      <c r="A138" s="24" t="s">
        <v>1607</v>
      </c>
      <c r="B138" s="18" t="s">
        <v>75</v>
      </c>
      <c r="C138" s="18" t="s">
        <v>10</v>
      </c>
      <c r="D138" s="18" t="s">
        <v>31</v>
      </c>
      <c r="E138" s="18" t="s">
        <v>1620</v>
      </c>
      <c r="F138" s="18" t="s">
        <v>1621</v>
      </c>
      <c r="G138" s="19">
        <v>46172</v>
      </c>
      <c r="H138" s="18" t="s">
        <v>1104</v>
      </c>
      <c r="I138" s="18" t="s">
        <v>874</v>
      </c>
      <c r="J138" s="27" t="s">
        <v>1622</v>
      </c>
    </row>
    <row r="139" spans="1:10" x14ac:dyDescent="0.3">
      <c r="A139" s="24" t="s">
        <v>1607</v>
      </c>
      <c r="B139" s="18" t="s">
        <v>75</v>
      </c>
      <c r="C139" s="18" t="s">
        <v>10</v>
      </c>
      <c r="D139" s="18" t="s">
        <v>32</v>
      </c>
      <c r="E139" s="18" t="s">
        <v>1620</v>
      </c>
      <c r="F139" s="18" t="s">
        <v>1621</v>
      </c>
      <c r="G139" s="19">
        <v>46173</v>
      </c>
      <c r="H139" s="18" t="s">
        <v>1143</v>
      </c>
      <c r="I139" s="18" t="s">
        <v>874</v>
      </c>
      <c r="J139" s="27" t="s">
        <v>1623</v>
      </c>
    </row>
    <row r="140" spans="1:10" x14ac:dyDescent="0.3">
      <c r="A140" s="24" t="s">
        <v>1624</v>
      </c>
      <c r="B140" s="18" t="s">
        <v>55</v>
      </c>
      <c r="C140" s="18" t="s">
        <v>8</v>
      </c>
      <c r="D140" s="18" t="s">
        <v>27</v>
      </c>
      <c r="E140" s="18" t="s">
        <v>1625</v>
      </c>
      <c r="F140" s="18" t="s">
        <v>1626</v>
      </c>
      <c r="G140" s="19">
        <v>46196</v>
      </c>
      <c r="H140" s="18" t="s">
        <v>977</v>
      </c>
      <c r="I140" s="18" t="s">
        <v>874</v>
      </c>
      <c r="J140" s="27" t="s">
        <v>1627</v>
      </c>
    </row>
    <row r="141" spans="1:10" x14ac:dyDescent="0.3">
      <c r="A141" s="24" t="s">
        <v>1624</v>
      </c>
      <c r="B141" s="18" t="s">
        <v>55</v>
      </c>
      <c r="C141" s="18" t="s">
        <v>8</v>
      </c>
      <c r="D141" s="18" t="s">
        <v>28</v>
      </c>
      <c r="E141" s="18" t="s">
        <v>1628</v>
      </c>
      <c r="F141" s="18" t="s">
        <v>1629</v>
      </c>
      <c r="G141" s="19">
        <v>46191</v>
      </c>
      <c r="H141" s="18" t="s">
        <v>1016</v>
      </c>
      <c r="I141" s="18" t="s">
        <v>874</v>
      </c>
      <c r="J141" s="27" t="s">
        <v>1630</v>
      </c>
    </row>
    <row r="142" spans="1:10" x14ac:dyDescent="0.3">
      <c r="A142" s="24" t="s">
        <v>1624</v>
      </c>
      <c r="B142" s="18" t="s">
        <v>55</v>
      </c>
      <c r="C142" s="18" t="s">
        <v>8</v>
      </c>
      <c r="D142" s="18" t="s">
        <v>29</v>
      </c>
      <c r="E142" s="18" t="s">
        <v>1631</v>
      </c>
      <c r="F142" s="18" t="s">
        <v>1632</v>
      </c>
      <c r="G142" s="19">
        <v>46186</v>
      </c>
      <c r="H142" s="18" t="s">
        <v>1054</v>
      </c>
      <c r="I142" s="18" t="s">
        <v>874</v>
      </c>
      <c r="J142" s="27" t="s">
        <v>1633</v>
      </c>
    </row>
    <row r="143" spans="1:10" x14ac:dyDescent="0.3">
      <c r="A143" s="24" t="s">
        <v>1624</v>
      </c>
      <c r="B143" s="18" t="s">
        <v>55</v>
      </c>
      <c r="C143" s="18" t="s">
        <v>8</v>
      </c>
      <c r="D143" s="18" t="s">
        <v>30</v>
      </c>
      <c r="E143" s="18" t="s">
        <v>1634</v>
      </c>
      <c r="F143" s="18" t="s">
        <v>1635</v>
      </c>
      <c r="G143" s="19">
        <v>46181</v>
      </c>
      <c r="H143" s="18" t="s">
        <v>930</v>
      </c>
      <c r="I143" s="18" t="s">
        <v>874</v>
      </c>
      <c r="J143" s="27" t="s">
        <v>1636</v>
      </c>
    </row>
    <row r="144" spans="1:10" x14ac:dyDescent="0.3">
      <c r="A144" s="24" t="s">
        <v>1624</v>
      </c>
      <c r="B144" s="18" t="s">
        <v>55</v>
      </c>
      <c r="C144" s="18" t="s">
        <v>8</v>
      </c>
      <c r="D144" s="18" t="s">
        <v>31</v>
      </c>
      <c r="E144" s="18" t="s">
        <v>1637</v>
      </c>
      <c r="F144" s="18" t="s">
        <v>1638</v>
      </c>
      <c r="G144" s="19">
        <v>46174</v>
      </c>
      <c r="H144" s="18" t="s">
        <v>1107</v>
      </c>
      <c r="I144" s="18" t="s">
        <v>874</v>
      </c>
      <c r="J144" s="27" t="s">
        <v>1639</v>
      </c>
    </row>
    <row r="145" spans="1:10" x14ac:dyDescent="0.3">
      <c r="A145" s="24" t="s">
        <v>1624</v>
      </c>
      <c r="B145" s="18" t="s">
        <v>55</v>
      </c>
      <c r="C145" s="18" t="s">
        <v>8</v>
      </c>
      <c r="D145" s="18" t="s">
        <v>32</v>
      </c>
      <c r="E145" s="18" t="s">
        <v>1637</v>
      </c>
      <c r="F145" s="18" t="s">
        <v>1638</v>
      </c>
      <c r="G145" s="19">
        <v>46175</v>
      </c>
      <c r="H145" s="18" t="s">
        <v>1146</v>
      </c>
      <c r="I145" s="18" t="s">
        <v>874</v>
      </c>
      <c r="J145" s="27" t="s">
        <v>1640</v>
      </c>
    </row>
    <row r="146" spans="1:10" x14ac:dyDescent="0.3">
      <c r="A146" s="24" t="s">
        <v>1641</v>
      </c>
      <c r="B146" s="18" t="s">
        <v>83</v>
      </c>
      <c r="C146" s="18" t="s">
        <v>11</v>
      </c>
      <c r="D146" s="18" t="s">
        <v>27</v>
      </c>
      <c r="E146" s="18" t="s">
        <v>1509</v>
      </c>
      <c r="F146" s="18" t="s">
        <v>1642</v>
      </c>
      <c r="G146" s="19">
        <v>46195</v>
      </c>
      <c r="H146" s="18" t="s">
        <v>941</v>
      </c>
      <c r="I146" s="18" t="s">
        <v>874</v>
      </c>
      <c r="J146" s="27" t="s">
        <v>1643</v>
      </c>
    </row>
    <row r="147" spans="1:10" x14ac:dyDescent="0.3">
      <c r="A147" s="24" t="s">
        <v>1641</v>
      </c>
      <c r="B147" s="18" t="s">
        <v>83</v>
      </c>
      <c r="C147" s="18" t="s">
        <v>11</v>
      </c>
      <c r="D147" s="18" t="s">
        <v>28</v>
      </c>
      <c r="E147" s="18" t="s">
        <v>1244</v>
      </c>
      <c r="F147" s="18" t="s">
        <v>1644</v>
      </c>
      <c r="G147" s="19">
        <v>46190</v>
      </c>
      <c r="H147" s="18" t="s">
        <v>980</v>
      </c>
      <c r="I147" s="18" t="s">
        <v>874</v>
      </c>
      <c r="J147" s="27" t="s">
        <v>1645</v>
      </c>
    </row>
    <row r="148" spans="1:10" x14ac:dyDescent="0.3">
      <c r="A148" s="24" t="s">
        <v>1641</v>
      </c>
      <c r="B148" s="18" t="s">
        <v>83</v>
      </c>
      <c r="C148" s="18" t="s">
        <v>11</v>
      </c>
      <c r="D148" s="18" t="s">
        <v>29</v>
      </c>
      <c r="E148" s="18" t="s">
        <v>1514</v>
      </c>
      <c r="F148" s="18" t="s">
        <v>1646</v>
      </c>
      <c r="G148" s="19">
        <v>46185</v>
      </c>
      <c r="H148" s="18" t="s">
        <v>643</v>
      </c>
      <c r="I148" s="18" t="s">
        <v>874</v>
      </c>
      <c r="J148" s="27" t="s">
        <v>1368</v>
      </c>
    </row>
    <row r="149" spans="1:10" x14ac:dyDescent="0.3">
      <c r="A149" s="24" t="s">
        <v>1641</v>
      </c>
      <c r="B149" s="18" t="s">
        <v>83</v>
      </c>
      <c r="C149" s="18" t="s">
        <v>11</v>
      </c>
      <c r="D149" s="18" t="s">
        <v>30</v>
      </c>
      <c r="E149" s="18" t="s">
        <v>1247</v>
      </c>
      <c r="F149" s="18" t="s">
        <v>1647</v>
      </c>
      <c r="G149" s="19">
        <v>46180</v>
      </c>
      <c r="H149" s="18" t="s">
        <v>870</v>
      </c>
      <c r="I149" s="18" t="s">
        <v>874</v>
      </c>
      <c r="J149" s="27" t="s">
        <v>1648</v>
      </c>
    </row>
    <row r="150" spans="1:10" x14ac:dyDescent="0.3">
      <c r="A150" s="24" t="s">
        <v>1641</v>
      </c>
      <c r="B150" s="18" t="s">
        <v>83</v>
      </c>
      <c r="C150" s="18" t="s">
        <v>11</v>
      </c>
      <c r="D150" s="18" t="s">
        <v>31</v>
      </c>
      <c r="E150" s="18" t="s">
        <v>1519</v>
      </c>
      <c r="F150" s="18" t="s">
        <v>1649</v>
      </c>
      <c r="G150" s="19">
        <v>46173</v>
      </c>
      <c r="H150" s="18" t="s">
        <v>1071</v>
      </c>
      <c r="I150" s="18" t="s">
        <v>874</v>
      </c>
      <c r="J150" s="27" t="s">
        <v>1650</v>
      </c>
    </row>
    <row r="151" spans="1:10" x14ac:dyDescent="0.3">
      <c r="A151" s="24" t="s">
        <v>1641</v>
      </c>
      <c r="B151" s="18" t="s">
        <v>83</v>
      </c>
      <c r="C151" s="18" t="s">
        <v>11</v>
      </c>
      <c r="D151" s="18" t="s">
        <v>32</v>
      </c>
      <c r="E151" s="18" t="s">
        <v>1519</v>
      </c>
      <c r="F151" s="18" t="s">
        <v>1649</v>
      </c>
      <c r="G151" s="19">
        <v>46174</v>
      </c>
      <c r="H151" s="18" t="s">
        <v>1110</v>
      </c>
      <c r="I151" s="18" t="s">
        <v>874</v>
      </c>
      <c r="J151" s="27" t="s">
        <v>1651</v>
      </c>
    </row>
    <row r="152" spans="1:10" x14ac:dyDescent="0.3">
      <c r="A152" s="24" t="s">
        <v>1652</v>
      </c>
      <c r="B152" s="18" t="s">
        <v>36</v>
      </c>
      <c r="C152" s="18" t="s">
        <v>6</v>
      </c>
      <c r="D152" s="18" t="s">
        <v>27</v>
      </c>
      <c r="E152" s="18" t="s">
        <v>1444</v>
      </c>
      <c r="F152" s="18" t="s">
        <v>1653</v>
      </c>
      <c r="G152" s="19">
        <v>46197</v>
      </c>
      <c r="H152" s="18" t="s">
        <v>947</v>
      </c>
      <c r="I152" s="18" t="s">
        <v>874</v>
      </c>
      <c r="J152" s="27" t="s">
        <v>1654</v>
      </c>
    </row>
    <row r="153" spans="1:10" x14ac:dyDescent="0.3">
      <c r="A153" s="24" t="s">
        <v>1652</v>
      </c>
      <c r="B153" s="18" t="s">
        <v>36</v>
      </c>
      <c r="C153" s="18" t="s">
        <v>6</v>
      </c>
      <c r="D153" s="18" t="s">
        <v>28</v>
      </c>
      <c r="E153" s="18" t="s">
        <v>1447</v>
      </c>
      <c r="F153" s="18" t="s">
        <v>1655</v>
      </c>
      <c r="G153" s="19">
        <v>46192</v>
      </c>
      <c r="H153" s="18" t="s">
        <v>986</v>
      </c>
      <c r="I153" s="18" t="s">
        <v>874</v>
      </c>
      <c r="J153" s="27" t="s">
        <v>1656</v>
      </c>
    </row>
    <row r="154" spans="1:10" x14ac:dyDescent="0.3">
      <c r="A154" s="24" t="s">
        <v>1652</v>
      </c>
      <c r="B154" s="18" t="s">
        <v>36</v>
      </c>
      <c r="C154" s="18" t="s">
        <v>6</v>
      </c>
      <c r="D154" s="18" t="s">
        <v>29</v>
      </c>
      <c r="E154" s="18" t="s">
        <v>1449</v>
      </c>
      <c r="F154" s="18" t="s">
        <v>1657</v>
      </c>
      <c r="G154" s="19">
        <v>46187</v>
      </c>
      <c r="H154" s="18" t="s">
        <v>1024</v>
      </c>
      <c r="I154" s="18" t="s">
        <v>874</v>
      </c>
      <c r="J154" s="27" t="s">
        <v>1658</v>
      </c>
    </row>
    <row r="155" spans="1:10" x14ac:dyDescent="0.3">
      <c r="A155" s="24" t="s">
        <v>1652</v>
      </c>
      <c r="B155" s="18" t="s">
        <v>36</v>
      </c>
      <c r="C155" s="18" t="s">
        <v>6</v>
      </c>
      <c r="D155" s="18" t="s">
        <v>30</v>
      </c>
      <c r="E155" s="18" t="s">
        <v>1452</v>
      </c>
      <c r="F155" s="18" t="s">
        <v>1659</v>
      </c>
      <c r="G155" s="19">
        <v>46182</v>
      </c>
      <c r="H155" s="18" t="s">
        <v>877</v>
      </c>
      <c r="I155" s="18" t="s">
        <v>874</v>
      </c>
      <c r="J155" s="27" t="s">
        <v>1337</v>
      </c>
    </row>
    <row r="156" spans="1:10" x14ac:dyDescent="0.3">
      <c r="A156" s="24" t="s">
        <v>1652</v>
      </c>
      <c r="B156" s="18" t="s">
        <v>36</v>
      </c>
      <c r="C156" s="18" t="s">
        <v>6</v>
      </c>
      <c r="D156" s="18" t="s">
        <v>31</v>
      </c>
      <c r="E156" s="18" t="s">
        <v>1454</v>
      </c>
      <c r="F156" s="18" t="s">
        <v>1660</v>
      </c>
      <c r="G156" s="19">
        <v>46175</v>
      </c>
      <c r="H156" s="18" t="s">
        <v>1077</v>
      </c>
      <c r="I156" s="18" t="s">
        <v>874</v>
      </c>
      <c r="J156" s="27" t="s">
        <v>1661</v>
      </c>
    </row>
    <row r="157" spans="1:10" x14ac:dyDescent="0.3">
      <c r="A157" s="24" t="s">
        <v>1652</v>
      </c>
      <c r="B157" s="18" t="s">
        <v>36</v>
      </c>
      <c r="C157" s="18" t="s">
        <v>6</v>
      </c>
      <c r="D157" s="18" t="s">
        <v>32</v>
      </c>
      <c r="E157" s="18" t="s">
        <v>1454</v>
      </c>
      <c r="F157" s="18" t="s">
        <v>1660</v>
      </c>
      <c r="G157" s="19">
        <v>46176</v>
      </c>
      <c r="H157" s="18" t="s">
        <v>1116</v>
      </c>
      <c r="I157" s="18" t="s">
        <v>874</v>
      </c>
      <c r="J157" s="27" t="s">
        <v>1490</v>
      </c>
    </row>
    <row r="158" spans="1:10" x14ac:dyDescent="0.3">
      <c r="A158" s="24" t="s">
        <v>1662</v>
      </c>
      <c r="B158" s="18" t="s">
        <v>22</v>
      </c>
      <c r="C158" s="18" t="s">
        <v>5</v>
      </c>
      <c r="D158" s="18" t="s">
        <v>27</v>
      </c>
      <c r="E158" s="18" t="s">
        <v>1663</v>
      </c>
      <c r="F158" s="18" t="s">
        <v>1664</v>
      </c>
      <c r="G158" s="19">
        <v>46194</v>
      </c>
      <c r="H158" s="18" t="s">
        <v>950</v>
      </c>
      <c r="I158" s="18" t="s">
        <v>874</v>
      </c>
      <c r="J158" s="27" t="s">
        <v>1665</v>
      </c>
    </row>
    <row r="159" spans="1:10" x14ac:dyDescent="0.3">
      <c r="A159" s="24" t="s">
        <v>1662</v>
      </c>
      <c r="B159" s="18" t="s">
        <v>22</v>
      </c>
      <c r="C159" s="18" t="s">
        <v>5</v>
      </c>
      <c r="D159" s="18" t="s">
        <v>28</v>
      </c>
      <c r="E159" s="18" t="s">
        <v>1346</v>
      </c>
      <c r="F159" s="18" t="s">
        <v>1666</v>
      </c>
      <c r="G159" s="19">
        <v>46189</v>
      </c>
      <c r="H159" s="18" t="s">
        <v>989</v>
      </c>
      <c r="I159" s="18" t="s">
        <v>874</v>
      </c>
      <c r="J159" s="27" t="s">
        <v>1667</v>
      </c>
    </row>
    <row r="160" spans="1:10" x14ac:dyDescent="0.3">
      <c r="A160" s="24" t="s">
        <v>1662</v>
      </c>
      <c r="B160" s="18" t="s">
        <v>22</v>
      </c>
      <c r="C160" s="18" t="s">
        <v>5</v>
      </c>
      <c r="D160" s="18" t="s">
        <v>29</v>
      </c>
      <c r="E160" s="18" t="s">
        <v>1349</v>
      </c>
      <c r="F160" s="18" t="s">
        <v>1668</v>
      </c>
      <c r="G160" s="19">
        <v>46184</v>
      </c>
      <c r="H160" s="18" t="s">
        <v>1027</v>
      </c>
      <c r="I160" s="18" t="s">
        <v>874</v>
      </c>
      <c r="J160" s="27" t="s">
        <v>1669</v>
      </c>
    </row>
    <row r="161" spans="1:10" x14ac:dyDescent="0.3">
      <c r="A161" s="24" t="s">
        <v>1662</v>
      </c>
      <c r="B161" s="18" t="s">
        <v>22</v>
      </c>
      <c r="C161" s="18" t="s">
        <v>5</v>
      </c>
      <c r="D161" s="18" t="s">
        <v>30</v>
      </c>
      <c r="E161" s="18" t="s">
        <v>1352</v>
      </c>
      <c r="F161" s="18" t="s">
        <v>1670</v>
      </c>
      <c r="G161" s="19">
        <v>46179</v>
      </c>
      <c r="H161" s="18" t="s">
        <v>882</v>
      </c>
      <c r="I161" s="18" t="s">
        <v>874</v>
      </c>
      <c r="J161" s="27" t="s">
        <v>1671</v>
      </c>
    </row>
    <row r="162" spans="1:10" x14ac:dyDescent="0.3">
      <c r="A162" s="24" t="s">
        <v>1662</v>
      </c>
      <c r="B162" s="18" t="s">
        <v>22</v>
      </c>
      <c r="C162" s="18" t="s">
        <v>5</v>
      </c>
      <c r="D162" s="18" t="s">
        <v>31</v>
      </c>
      <c r="E162" s="18" t="s">
        <v>1355</v>
      </c>
      <c r="F162" s="18" t="s">
        <v>1672</v>
      </c>
      <c r="G162" s="19">
        <v>46172</v>
      </c>
      <c r="H162" s="18" t="s">
        <v>1080</v>
      </c>
      <c r="I162" s="18" t="s">
        <v>874</v>
      </c>
      <c r="J162" s="27" t="s">
        <v>1673</v>
      </c>
    </row>
    <row r="163" spans="1:10" x14ac:dyDescent="0.3">
      <c r="A163" s="24" t="s">
        <v>1662</v>
      </c>
      <c r="B163" s="18" t="s">
        <v>22</v>
      </c>
      <c r="C163" s="18" t="s">
        <v>5</v>
      </c>
      <c r="D163" s="18" t="s">
        <v>32</v>
      </c>
      <c r="E163" s="18" t="s">
        <v>1355</v>
      </c>
      <c r="F163" s="18" t="s">
        <v>1672</v>
      </c>
      <c r="G163" s="19">
        <v>46173</v>
      </c>
      <c r="H163" s="18" t="s">
        <v>1119</v>
      </c>
      <c r="I163" s="18" t="s">
        <v>874</v>
      </c>
      <c r="J163" s="27" t="s">
        <v>1474</v>
      </c>
    </row>
    <row r="164" spans="1:10" x14ac:dyDescent="0.3">
      <c r="A164" s="24" t="s">
        <v>1674</v>
      </c>
      <c r="B164" s="18" t="s">
        <v>95</v>
      </c>
      <c r="C164" s="18" t="s">
        <v>12</v>
      </c>
      <c r="D164" s="18" t="s">
        <v>27</v>
      </c>
      <c r="E164" s="18" t="s">
        <v>1675</v>
      </c>
      <c r="F164" s="18" t="s">
        <v>1676</v>
      </c>
      <c r="G164" s="19">
        <v>46196</v>
      </c>
      <c r="H164" s="18" t="s">
        <v>953</v>
      </c>
      <c r="I164" s="18" t="s">
        <v>874</v>
      </c>
      <c r="J164" s="27" t="s">
        <v>1677</v>
      </c>
    </row>
    <row r="165" spans="1:10" x14ac:dyDescent="0.3">
      <c r="A165" s="24" t="s">
        <v>1674</v>
      </c>
      <c r="B165" s="18" t="s">
        <v>95</v>
      </c>
      <c r="C165" s="18" t="s">
        <v>12</v>
      </c>
      <c r="D165" s="18" t="s">
        <v>28</v>
      </c>
      <c r="E165" s="18" t="s">
        <v>1678</v>
      </c>
      <c r="F165" s="18" t="s">
        <v>1679</v>
      </c>
      <c r="G165" s="19">
        <v>46191</v>
      </c>
      <c r="H165" s="18" t="s">
        <v>992</v>
      </c>
      <c r="I165" s="18" t="s">
        <v>874</v>
      </c>
      <c r="J165" s="27" t="s">
        <v>1680</v>
      </c>
    </row>
    <row r="166" spans="1:10" x14ac:dyDescent="0.3">
      <c r="A166" s="24" t="s">
        <v>1674</v>
      </c>
      <c r="B166" s="18" t="s">
        <v>95</v>
      </c>
      <c r="C166" s="18" t="s">
        <v>12</v>
      </c>
      <c r="D166" s="18" t="s">
        <v>29</v>
      </c>
      <c r="E166" s="18" t="s">
        <v>1681</v>
      </c>
      <c r="F166" s="18" t="s">
        <v>1682</v>
      </c>
      <c r="G166" s="19">
        <v>46186</v>
      </c>
      <c r="H166" s="18" t="s">
        <v>1030</v>
      </c>
      <c r="I166" s="18" t="s">
        <v>874</v>
      </c>
      <c r="J166" s="27" t="s">
        <v>1385</v>
      </c>
    </row>
    <row r="167" spans="1:10" x14ac:dyDescent="0.3">
      <c r="A167" s="24" t="s">
        <v>1674</v>
      </c>
      <c r="B167" s="18" t="s">
        <v>95</v>
      </c>
      <c r="C167" s="18" t="s">
        <v>12</v>
      </c>
      <c r="D167" s="18" t="s">
        <v>30</v>
      </c>
      <c r="E167" s="18" t="s">
        <v>1683</v>
      </c>
      <c r="F167" s="18" t="s">
        <v>1684</v>
      </c>
      <c r="G167" s="19">
        <v>46181</v>
      </c>
      <c r="H167" s="18" t="s">
        <v>888</v>
      </c>
      <c r="I167" s="18" t="s">
        <v>874</v>
      </c>
      <c r="J167" s="27" t="s">
        <v>1470</v>
      </c>
    </row>
    <row r="168" spans="1:10" x14ac:dyDescent="0.3">
      <c r="A168" s="24" t="s">
        <v>1674</v>
      </c>
      <c r="B168" s="18" t="s">
        <v>95</v>
      </c>
      <c r="C168" s="18" t="s">
        <v>12</v>
      </c>
      <c r="D168" s="18" t="s">
        <v>31</v>
      </c>
      <c r="E168" s="18" t="s">
        <v>1685</v>
      </c>
      <c r="F168" s="18" t="s">
        <v>1686</v>
      </c>
      <c r="G168" s="19">
        <v>46174</v>
      </c>
      <c r="H168" s="18" t="s">
        <v>1083</v>
      </c>
      <c r="I168" s="18" t="s">
        <v>874</v>
      </c>
      <c r="J168" s="27" t="s">
        <v>1687</v>
      </c>
    </row>
    <row r="169" spans="1:10" x14ac:dyDescent="0.3">
      <c r="A169" s="24" t="s">
        <v>1674</v>
      </c>
      <c r="B169" s="18" t="s">
        <v>95</v>
      </c>
      <c r="C169" s="18" t="s">
        <v>12</v>
      </c>
      <c r="D169" s="18" t="s">
        <v>32</v>
      </c>
      <c r="E169" s="18" t="s">
        <v>1685</v>
      </c>
      <c r="F169" s="18" t="s">
        <v>1686</v>
      </c>
      <c r="G169" s="19">
        <v>46175</v>
      </c>
      <c r="H169" s="18" t="s">
        <v>1122</v>
      </c>
      <c r="I169" s="18" t="s">
        <v>874</v>
      </c>
      <c r="J169" s="27" t="s">
        <v>1688</v>
      </c>
    </row>
    <row r="170" spans="1:10" x14ac:dyDescent="0.3">
      <c r="A170" s="24" t="s">
        <v>1689</v>
      </c>
      <c r="B170" s="18" t="s">
        <v>58</v>
      </c>
      <c r="C170" s="18" t="s">
        <v>8</v>
      </c>
      <c r="D170" s="18" t="s">
        <v>27</v>
      </c>
      <c r="E170" s="18" t="s">
        <v>1690</v>
      </c>
      <c r="F170" s="18" t="s">
        <v>1691</v>
      </c>
      <c r="G170" s="19">
        <v>46195</v>
      </c>
      <c r="H170" s="18" t="s">
        <v>956</v>
      </c>
      <c r="I170" s="18" t="s">
        <v>874</v>
      </c>
      <c r="J170" s="27" t="s">
        <v>1692</v>
      </c>
    </row>
    <row r="171" spans="1:10" x14ac:dyDescent="0.3">
      <c r="A171" s="24" t="s">
        <v>1689</v>
      </c>
      <c r="B171" s="18" t="s">
        <v>58</v>
      </c>
      <c r="C171" s="18" t="s">
        <v>8</v>
      </c>
      <c r="D171" s="18" t="s">
        <v>28</v>
      </c>
      <c r="E171" s="18" t="s">
        <v>1693</v>
      </c>
      <c r="F171" s="18" t="s">
        <v>1694</v>
      </c>
      <c r="G171" s="19">
        <v>46190</v>
      </c>
      <c r="H171" s="18" t="s">
        <v>995</v>
      </c>
      <c r="I171" s="18" t="s">
        <v>874</v>
      </c>
      <c r="J171" s="27" t="s">
        <v>1695</v>
      </c>
    </row>
    <row r="172" spans="1:10" x14ac:dyDescent="0.3">
      <c r="A172" s="24" t="s">
        <v>1689</v>
      </c>
      <c r="B172" s="18" t="s">
        <v>58</v>
      </c>
      <c r="C172" s="18" t="s">
        <v>8</v>
      </c>
      <c r="D172" s="18" t="s">
        <v>29</v>
      </c>
      <c r="E172" s="18" t="s">
        <v>1611</v>
      </c>
      <c r="F172" s="18" t="s">
        <v>1696</v>
      </c>
      <c r="G172" s="19">
        <v>46185</v>
      </c>
      <c r="H172" s="18" t="s">
        <v>1033</v>
      </c>
      <c r="I172" s="18" t="s">
        <v>874</v>
      </c>
      <c r="J172" s="27" t="s">
        <v>1697</v>
      </c>
    </row>
    <row r="173" spans="1:10" x14ac:dyDescent="0.3">
      <c r="A173" s="24" t="s">
        <v>1689</v>
      </c>
      <c r="B173" s="18" t="s">
        <v>58</v>
      </c>
      <c r="C173" s="18" t="s">
        <v>8</v>
      </c>
      <c r="D173" s="18" t="s">
        <v>30</v>
      </c>
      <c r="E173" s="18" t="s">
        <v>1614</v>
      </c>
      <c r="F173" s="18" t="s">
        <v>1698</v>
      </c>
      <c r="G173" s="19">
        <v>46180</v>
      </c>
      <c r="H173" s="18" t="s">
        <v>893</v>
      </c>
      <c r="I173" s="18" t="s">
        <v>874</v>
      </c>
      <c r="J173" s="27" t="s">
        <v>1619</v>
      </c>
    </row>
    <row r="174" spans="1:10" x14ac:dyDescent="0.3">
      <c r="A174" s="24" t="s">
        <v>1689</v>
      </c>
      <c r="B174" s="18" t="s">
        <v>58</v>
      </c>
      <c r="C174" s="18" t="s">
        <v>8</v>
      </c>
      <c r="D174" s="18" t="s">
        <v>31</v>
      </c>
      <c r="E174" s="18" t="s">
        <v>1699</v>
      </c>
      <c r="F174" s="18" t="s">
        <v>1700</v>
      </c>
      <c r="G174" s="19">
        <v>46173</v>
      </c>
      <c r="H174" s="18" t="s">
        <v>1086</v>
      </c>
      <c r="I174" s="18" t="s">
        <v>874</v>
      </c>
      <c r="J174" s="27" t="s">
        <v>1701</v>
      </c>
    </row>
    <row r="175" spans="1:10" x14ac:dyDescent="0.3">
      <c r="A175" s="24" t="s">
        <v>1689</v>
      </c>
      <c r="B175" s="18" t="s">
        <v>58</v>
      </c>
      <c r="C175" s="18" t="s">
        <v>8</v>
      </c>
      <c r="D175" s="18" t="s">
        <v>32</v>
      </c>
      <c r="E175" s="18" t="s">
        <v>1699</v>
      </c>
      <c r="F175" s="18" t="s">
        <v>1700</v>
      </c>
      <c r="G175" s="19">
        <v>46174</v>
      </c>
      <c r="H175" s="18" t="s">
        <v>1125</v>
      </c>
      <c r="I175" s="18" t="s">
        <v>874</v>
      </c>
      <c r="J175" s="27" t="s">
        <v>1702</v>
      </c>
    </row>
    <row r="176" spans="1:10" x14ac:dyDescent="0.3">
      <c r="A176" s="24" t="s">
        <v>1703</v>
      </c>
      <c r="B176" s="18" t="s">
        <v>70</v>
      </c>
      <c r="C176" s="18" t="s">
        <v>9</v>
      </c>
      <c r="D176" s="18" t="s">
        <v>27</v>
      </c>
      <c r="E176" s="18" t="s">
        <v>1704</v>
      </c>
      <c r="F176" s="18" t="s">
        <v>1705</v>
      </c>
      <c r="G176" s="19">
        <v>46197</v>
      </c>
      <c r="H176" s="18" t="s">
        <v>959</v>
      </c>
      <c r="I176" s="18" t="s">
        <v>874</v>
      </c>
      <c r="J176" s="27" t="s">
        <v>1706</v>
      </c>
    </row>
    <row r="177" spans="1:10" x14ac:dyDescent="0.3">
      <c r="A177" s="24" t="s">
        <v>1703</v>
      </c>
      <c r="B177" s="18" t="s">
        <v>70</v>
      </c>
      <c r="C177" s="18" t="s">
        <v>9</v>
      </c>
      <c r="D177" s="18" t="s">
        <v>28</v>
      </c>
      <c r="E177" s="18" t="s">
        <v>1707</v>
      </c>
      <c r="F177" s="18" t="s">
        <v>1708</v>
      </c>
      <c r="G177" s="19">
        <v>46192</v>
      </c>
      <c r="H177" s="18" t="s">
        <v>998</v>
      </c>
      <c r="I177" s="18" t="s">
        <v>874</v>
      </c>
      <c r="J177" s="27" t="s">
        <v>1709</v>
      </c>
    </row>
    <row r="178" spans="1:10" x14ac:dyDescent="0.3">
      <c r="A178" s="24" t="s">
        <v>1703</v>
      </c>
      <c r="B178" s="18" t="s">
        <v>70</v>
      </c>
      <c r="C178" s="18" t="s">
        <v>9</v>
      </c>
      <c r="D178" s="18" t="s">
        <v>29</v>
      </c>
      <c r="E178" s="18" t="s">
        <v>1710</v>
      </c>
      <c r="F178" s="18" t="s">
        <v>1711</v>
      </c>
      <c r="G178" s="19">
        <v>46187</v>
      </c>
      <c r="H178" s="18" t="s">
        <v>1036</v>
      </c>
      <c r="I178" s="18" t="s">
        <v>874</v>
      </c>
      <c r="J178" s="27" t="s">
        <v>1402</v>
      </c>
    </row>
    <row r="179" spans="1:10" x14ac:dyDescent="0.3">
      <c r="A179" s="24" t="s">
        <v>1703</v>
      </c>
      <c r="B179" s="18" t="s">
        <v>70</v>
      </c>
      <c r="C179" s="18" t="s">
        <v>9</v>
      </c>
      <c r="D179" s="18" t="s">
        <v>30</v>
      </c>
      <c r="E179" s="18" t="s">
        <v>1712</v>
      </c>
      <c r="F179" s="18" t="s">
        <v>1713</v>
      </c>
      <c r="G179" s="19">
        <v>46182</v>
      </c>
      <c r="H179" s="18" t="s">
        <v>899</v>
      </c>
      <c r="I179" s="18" t="s">
        <v>874</v>
      </c>
      <c r="J179" s="27" t="s">
        <v>1470</v>
      </c>
    </row>
    <row r="180" spans="1:10" x14ac:dyDescent="0.3">
      <c r="A180" s="24" t="s">
        <v>1703</v>
      </c>
      <c r="B180" s="18" t="s">
        <v>70</v>
      </c>
      <c r="C180" s="18" t="s">
        <v>9</v>
      </c>
      <c r="D180" s="18" t="s">
        <v>31</v>
      </c>
      <c r="E180" s="18" t="s">
        <v>1714</v>
      </c>
      <c r="F180" s="18" t="s">
        <v>1715</v>
      </c>
      <c r="G180" s="19">
        <v>46175</v>
      </c>
      <c r="H180" s="18" t="s">
        <v>1089</v>
      </c>
      <c r="I180" s="18" t="s">
        <v>874</v>
      </c>
      <c r="J180" s="27" t="s">
        <v>1716</v>
      </c>
    </row>
    <row r="181" spans="1:10" x14ac:dyDescent="0.3">
      <c r="A181" s="25" t="s">
        <v>1703</v>
      </c>
      <c r="B181" s="20" t="s">
        <v>70</v>
      </c>
      <c r="C181" s="20" t="s">
        <v>9</v>
      </c>
      <c r="D181" s="20" t="s">
        <v>32</v>
      </c>
      <c r="E181" s="20" t="s">
        <v>1714</v>
      </c>
      <c r="F181" s="20" t="s">
        <v>1715</v>
      </c>
      <c r="G181" s="21">
        <v>46176</v>
      </c>
      <c r="H181" s="20" t="s">
        <v>1128</v>
      </c>
      <c r="I181" s="20" t="s">
        <v>874</v>
      </c>
      <c r="J181" s="28" t="s">
        <v>1441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5CE6EB-313F-462F-8C6F-138753095050}">
  <dimension ref="A1:K128"/>
  <sheetViews>
    <sheetView workbookViewId="0">
      <selection activeCell="A8" sqref="A8"/>
    </sheetView>
  </sheetViews>
  <sheetFormatPr defaultRowHeight="14.4" x14ac:dyDescent="0.3"/>
  <cols>
    <col min="1" max="1" width="37" customWidth="1"/>
    <col min="2" max="2" width="40.6640625" bestFit="1" customWidth="1"/>
    <col min="3" max="3" width="27.21875" bestFit="1" customWidth="1"/>
    <col min="4" max="4" width="30.44140625" bestFit="1" customWidth="1"/>
    <col min="5" max="5" width="23.21875" bestFit="1" customWidth="1"/>
    <col min="6" max="6" width="39.88671875" bestFit="1" customWidth="1"/>
    <col min="7" max="7" width="38.77734375" bestFit="1" customWidth="1"/>
    <col min="8" max="8" width="5.5546875" bestFit="1" customWidth="1"/>
    <col min="9" max="9" width="17.21875" bestFit="1" customWidth="1"/>
    <col min="10" max="11" width="10" bestFit="1" customWidth="1"/>
  </cols>
  <sheetData>
    <row r="1" spans="1:6" ht="23.4" x14ac:dyDescent="0.45">
      <c r="A1" s="8" t="s">
        <v>369</v>
      </c>
    </row>
    <row r="3" spans="1:6" x14ac:dyDescent="0.3">
      <c r="A3" s="1" t="s">
        <v>370</v>
      </c>
    </row>
    <row r="4" spans="1:6" x14ac:dyDescent="0.3">
      <c r="A4" t="s">
        <v>371</v>
      </c>
      <c r="B4" t="s">
        <v>372</v>
      </c>
    </row>
    <row r="5" spans="1:6" x14ac:dyDescent="0.3">
      <c r="A5" t="s">
        <v>373</v>
      </c>
      <c r="B5" t="s">
        <v>374</v>
      </c>
    </row>
    <row r="6" spans="1:6" x14ac:dyDescent="0.3">
      <c r="A6" t="s">
        <v>375</v>
      </c>
      <c r="B6" t="s">
        <v>376</v>
      </c>
    </row>
    <row r="7" spans="1:6" x14ac:dyDescent="0.3">
      <c r="A7" t="s">
        <v>377</v>
      </c>
      <c r="B7" t="s">
        <v>378</v>
      </c>
    </row>
    <row r="8" spans="1:6" x14ac:dyDescent="0.3">
      <c r="A8" t="s">
        <v>379</v>
      </c>
      <c r="B8" t="s">
        <v>380</v>
      </c>
    </row>
    <row r="10" spans="1:6" ht="18" x14ac:dyDescent="0.35">
      <c r="A10" s="175" t="s">
        <v>381</v>
      </c>
      <c r="B10" s="175"/>
      <c r="C10" s="175"/>
      <c r="D10" s="175"/>
      <c r="E10" s="175"/>
      <c r="F10" s="175"/>
    </row>
    <row r="11" spans="1:6" x14ac:dyDescent="0.3">
      <c r="A11" s="9" t="s">
        <v>382</v>
      </c>
      <c r="B11" s="9" t="s">
        <v>1</v>
      </c>
      <c r="C11" s="9" t="s">
        <v>383</v>
      </c>
      <c r="D11" s="9" t="s">
        <v>384</v>
      </c>
      <c r="E11" s="9" t="s">
        <v>385</v>
      </c>
      <c r="F11" s="9" t="s">
        <v>386</v>
      </c>
    </row>
    <row r="12" spans="1:6" x14ac:dyDescent="0.3">
      <c r="A12" t="s">
        <v>387</v>
      </c>
      <c r="B12" t="s">
        <v>388</v>
      </c>
      <c r="C12" t="s">
        <v>389</v>
      </c>
      <c r="D12" t="s">
        <v>390</v>
      </c>
      <c r="E12" t="s">
        <v>391</v>
      </c>
      <c r="F12" t="s">
        <v>392</v>
      </c>
    </row>
    <row r="13" spans="1:6" x14ac:dyDescent="0.3">
      <c r="A13" t="s">
        <v>73</v>
      </c>
      <c r="B13" t="s">
        <v>10</v>
      </c>
      <c r="C13" t="s">
        <v>393</v>
      </c>
      <c r="D13" t="s">
        <v>394</v>
      </c>
      <c r="E13" t="s">
        <v>391</v>
      </c>
      <c r="F13" t="s">
        <v>395</v>
      </c>
    </row>
    <row r="14" spans="1:6" x14ac:dyDescent="0.3">
      <c r="A14" t="s">
        <v>63</v>
      </c>
      <c r="B14" t="s">
        <v>9</v>
      </c>
      <c r="C14" t="s">
        <v>396</v>
      </c>
      <c r="D14" t="s">
        <v>390</v>
      </c>
      <c r="E14" t="s">
        <v>391</v>
      </c>
      <c r="F14" t="s">
        <v>397</v>
      </c>
    </row>
    <row r="15" spans="1:6" x14ac:dyDescent="0.3">
      <c r="A15" t="s">
        <v>398</v>
      </c>
      <c r="B15" t="s">
        <v>7</v>
      </c>
      <c r="C15" t="s">
        <v>399</v>
      </c>
      <c r="D15" t="s">
        <v>400</v>
      </c>
      <c r="E15" t="s">
        <v>391</v>
      </c>
      <c r="F15" t="s">
        <v>401</v>
      </c>
    </row>
    <row r="18" spans="1:9" ht="18" x14ac:dyDescent="0.35">
      <c r="A18" s="176" t="s">
        <v>402</v>
      </c>
      <c r="B18" s="176"/>
      <c r="C18" s="176"/>
      <c r="D18" s="176"/>
      <c r="E18" s="176"/>
      <c r="F18" s="176"/>
      <c r="G18" s="176"/>
      <c r="H18" s="176"/>
      <c r="I18" s="176"/>
    </row>
    <row r="19" spans="1:9" x14ac:dyDescent="0.3">
      <c r="A19" s="10" t="s">
        <v>403</v>
      </c>
      <c r="B19" s="10" t="s">
        <v>5</v>
      </c>
      <c r="C19" s="10" t="s">
        <v>10</v>
      </c>
      <c r="D19" s="10" t="s">
        <v>9</v>
      </c>
      <c r="E19" s="10" t="s">
        <v>7</v>
      </c>
      <c r="F19" s="10" t="s">
        <v>8</v>
      </c>
      <c r="G19" s="10" t="s">
        <v>6</v>
      </c>
      <c r="H19" s="10" t="s">
        <v>11</v>
      </c>
      <c r="I19" s="10" t="s">
        <v>12</v>
      </c>
    </row>
    <row r="20" spans="1:9" x14ac:dyDescent="0.3">
      <c r="A20" s="10" t="s">
        <v>5</v>
      </c>
      <c r="B20" s="5" t="s">
        <v>404</v>
      </c>
      <c r="C20" s="5" t="s">
        <v>405</v>
      </c>
      <c r="D20" s="5" t="s">
        <v>405</v>
      </c>
      <c r="E20" s="5" t="s">
        <v>405</v>
      </c>
      <c r="F20" s="5" t="s">
        <v>405</v>
      </c>
      <c r="G20" s="5" t="s">
        <v>405</v>
      </c>
      <c r="H20" s="5" t="s">
        <v>405</v>
      </c>
      <c r="I20" s="5" t="s">
        <v>406</v>
      </c>
    </row>
    <row r="21" spans="1:9" x14ac:dyDescent="0.3">
      <c r="A21" s="10" t="s">
        <v>10</v>
      </c>
      <c r="B21" s="5" t="s">
        <v>405</v>
      </c>
      <c r="C21" s="5" t="s">
        <v>404</v>
      </c>
      <c r="D21" s="5" t="s">
        <v>405</v>
      </c>
      <c r="E21" s="5" t="s">
        <v>406</v>
      </c>
      <c r="F21" s="5" t="s">
        <v>406</v>
      </c>
      <c r="G21" s="5" t="s">
        <v>406</v>
      </c>
      <c r="H21" s="5" t="s">
        <v>405</v>
      </c>
      <c r="I21" s="5" t="s">
        <v>405</v>
      </c>
    </row>
    <row r="22" spans="1:9" x14ac:dyDescent="0.3">
      <c r="A22" s="10" t="s">
        <v>9</v>
      </c>
      <c r="B22" s="5" t="s">
        <v>405</v>
      </c>
      <c r="C22" s="5" t="s">
        <v>405</v>
      </c>
      <c r="D22" s="5" t="s">
        <v>404</v>
      </c>
      <c r="E22" s="5" t="s">
        <v>405</v>
      </c>
      <c r="F22" s="5" t="s">
        <v>405</v>
      </c>
      <c r="G22" s="5" t="s">
        <v>405</v>
      </c>
      <c r="H22" s="5" t="s">
        <v>405</v>
      </c>
      <c r="I22" s="5" t="s">
        <v>405</v>
      </c>
    </row>
    <row r="23" spans="1:9" x14ac:dyDescent="0.3">
      <c r="A23" s="10" t="s">
        <v>7</v>
      </c>
      <c r="B23" s="5" t="s">
        <v>405</v>
      </c>
      <c r="C23" s="5" t="s">
        <v>406</v>
      </c>
      <c r="D23" s="5" t="s">
        <v>405</v>
      </c>
      <c r="E23" s="5" t="s">
        <v>404</v>
      </c>
      <c r="F23" s="5" t="s">
        <v>405</v>
      </c>
      <c r="G23" s="5" t="s">
        <v>405</v>
      </c>
      <c r="H23" s="5" t="s">
        <v>405</v>
      </c>
      <c r="I23" s="5" t="s">
        <v>406</v>
      </c>
    </row>
    <row r="24" spans="1:9" x14ac:dyDescent="0.3">
      <c r="A24" s="10" t="s">
        <v>8</v>
      </c>
      <c r="B24" s="5" t="s">
        <v>405</v>
      </c>
      <c r="C24" s="5" t="s">
        <v>406</v>
      </c>
      <c r="D24" s="5" t="s">
        <v>405</v>
      </c>
      <c r="E24" s="5" t="s">
        <v>405</v>
      </c>
      <c r="F24" s="5" t="s">
        <v>404</v>
      </c>
      <c r="G24" s="5" t="s">
        <v>405</v>
      </c>
      <c r="H24" s="5" t="s">
        <v>406</v>
      </c>
      <c r="I24" s="5" t="s">
        <v>406</v>
      </c>
    </row>
    <row r="25" spans="1:9" x14ac:dyDescent="0.3">
      <c r="A25" s="10" t="s">
        <v>6</v>
      </c>
      <c r="B25" s="5" t="s">
        <v>405</v>
      </c>
      <c r="C25" s="5" t="s">
        <v>406</v>
      </c>
      <c r="D25" s="5" t="s">
        <v>405</v>
      </c>
      <c r="E25" s="5" t="s">
        <v>405</v>
      </c>
      <c r="F25" s="5" t="s">
        <v>405</v>
      </c>
      <c r="G25" s="5" t="s">
        <v>404</v>
      </c>
      <c r="H25" s="5" t="s">
        <v>406</v>
      </c>
      <c r="I25" s="5" t="s">
        <v>406</v>
      </c>
    </row>
    <row r="26" spans="1:9" x14ac:dyDescent="0.3">
      <c r="A26" s="10" t="s">
        <v>11</v>
      </c>
      <c r="B26" s="5" t="s">
        <v>405</v>
      </c>
      <c r="C26" s="5" t="s">
        <v>405</v>
      </c>
      <c r="D26" s="5" t="s">
        <v>405</v>
      </c>
      <c r="E26" s="5" t="s">
        <v>405</v>
      </c>
      <c r="F26" s="5" t="s">
        <v>406</v>
      </c>
      <c r="G26" s="5" t="s">
        <v>406</v>
      </c>
      <c r="H26" s="5" t="s">
        <v>404</v>
      </c>
      <c r="I26" s="5" t="s">
        <v>405</v>
      </c>
    </row>
    <row r="27" spans="1:9" x14ac:dyDescent="0.3">
      <c r="A27" s="10" t="s">
        <v>12</v>
      </c>
      <c r="B27" s="5" t="s">
        <v>406</v>
      </c>
      <c r="C27" s="5" t="s">
        <v>405</v>
      </c>
      <c r="D27" s="5" t="s">
        <v>405</v>
      </c>
      <c r="E27" s="5" t="s">
        <v>406</v>
      </c>
      <c r="F27" s="5" t="s">
        <v>406</v>
      </c>
      <c r="G27" s="5" t="s">
        <v>406</v>
      </c>
      <c r="H27" s="5" t="s">
        <v>405</v>
      </c>
      <c r="I27" s="5" t="s">
        <v>404</v>
      </c>
    </row>
    <row r="29" spans="1:9" x14ac:dyDescent="0.3">
      <c r="A29" s="1" t="s">
        <v>407</v>
      </c>
      <c r="B29" t="s">
        <v>408</v>
      </c>
    </row>
    <row r="30" spans="1:9" x14ac:dyDescent="0.3">
      <c r="A30" s="1" t="s">
        <v>409</v>
      </c>
      <c r="B30" t="s">
        <v>410</v>
      </c>
    </row>
    <row r="33" spans="1:7" ht="18" x14ac:dyDescent="0.35">
      <c r="A33" s="177" t="s">
        <v>411</v>
      </c>
      <c r="B33" s="177"/>
      <c r="C33" s="177"/>
      <c r="D33" s="177"/>
      <c r="E33" s="177"/>
      <c r="F33" s="177"/>
      <c r="G33" s="177"/>
    </row>
    <row r="34" spans="1:7" x14ac:dyDescent="0.3">
      <c r="A34" s="11" t="s">
        <v>412</v>
      </c>
      <c r="B34" s="11" t="s">
        <v>413</v>
      </c>
      <c r="C34" s="11" t="s">
        <v>414</v>
      </c>
      <c r="D34" s="11" t="s">
        <v>415</v>
      </c>
      <c r="E34" s="11" t="s">
        <v>416</v>
      </c>
      <c r="F34" s="11" t="s">
        <v>417</v>
      </c>
      <c r="G34" s="11" t="s">
        <v>418</v>
      </c>
    </row>
    <row r="35" spans="1:7" x14ac:dyDescent="0.3">
      <c r="A35" s="5" t="s">
        <v>419</v>
      </c>
      <c r="B35" s="5" t="s">
        <v>398</v>
      </c>
      <c r="C35" s="5" t="s">
        <v>420</v>
      </c>
      <c r="D35" s="5" t="s">
        <v>421</v>
      </c>
      <c r="E35" s="5" t="s">
        <v>422</v>
      </c>
      <c r="F35" s="5" t="s">
        <v>423</v>
      </c>
      <c r="G35" s="5" t="s">
        <v>424</v>
      </c>
    </row>
    <row r="36" spans="1:7" x14ac:dyDescent="0.3">
      <c r="A36" s="5" t="s">
        <v>425</v>
      </c>
      <c r="B36" s="5" t="s">
        <v>420</v>
      </c>
      <c r="C36" s="5" t="s">
        <v>73</v>
      </c>
      <c r="D36" s="5" t="s">
        <v>426</v>
      </c>
      <c r="E36" s="5" t="s">
        <v>427</v>
      </c>
      <c r="F36" s="5" t="s">
        <v>428</v>
      </c>
      <c r="G36" s="5" t="s">
        <v>429</v>
      </c>
    </row>
    <row r="37" spans="1:7" x14ac:dyDescent="0.3">
      <c r="A37" s="5" t="s">
        <v>430</v>
      </c>
      <c r="B37" s="5" t="s">
        <v>73</v>
      </c>
      <c r="C37" s="5" t="s">
        <v>431</v>
      </c>
      <c r="D37" s="5" t="s">
        <v>432</v>
      </c>
      <c r="E37" s="5" t="s">
        <v>422</v>
      </c>
      <c r="F37" s="5" t="s">
        <v>433</v>
      </c>
      <c r="G37" s="5" t="s">
        <v>434</v>
      </c>
    </row>
    <row r="38" spans="1:7" x14ac:dyDescent="0.3">
      <c r="A38" s="5" t="s">
        <v>435</v>
      </c>
      <c r="B38" s="5" t="s">
        <v>436</v>
      </c>
      <c r="C38" s="5" t="s">
        <v>35</v>
      </c>
      <c r="D38" s="5" t="s">
        <v>437</v>
      </c>
      <c r="E38" s="5" t="s">
        <v>438</v>
      </c>
      <c r="F38" s="5" t="s">
        <v>439</v>
      </c>
      <c r="G38" s="5" t="s">
        <v>440</v>
      </c>
    </row>
    <row r="39" spans="1:7" x14ac:dyDescent="0.3">
      <c r="A39" s="5" t="s">
        <v>441</v>
      </c>
      <c r="B39" s="5" t="s">
        <v>35</v>
      </c>
      <c r="C39" s="5" t="s">
        <v>442</v>
      </c>
      <c r="D39" s="5" t="s">
        <v>443</v>
      </c>
      <c r="E39" s="5" t="s">
        <v>422</v>
      </c>
      <c r="F39" s="5" t="s">
        <v>444</v>
      </c>
      <c r="G39" s="5" t="s">
        <v>445</v>
      </c>
    </row>
    <row r="40" spans="1:7" x14ac:dyDescent="0.3">
      <c r="A40" s="5" t="s">
        <v>446</v>
      </c>
      <c r="B40" s="5" t="s">
        <v>63</v>
      </c>
      <c r="C40" s="5" t="s">
        <v>95</v>
      </c>
      <c r="D40" s="5" t="s">
        <v>443</v>
      </c>
      <c r="E40" s="5" t="s">
        <v>422</v>
      </c>
      <c r="F40" s="5" t="s">
        <v>447</v>
      </c>
      <c r="G40" s="5" t="s">
        <v>448</v>
      </c>
    </row>
    <row r="41" spans="1:7" x14ac:dyDescent="0.3">
      <c r="A41" s="5" t="s">
        <v>449</v>
      </c>
      <c r="B41" s="5" t="s">
        <v>450</v>
      </c>
      <c r="C41" s="5" t="s">
        <v>96</v>
      </c>
      <c r="D41" s="5" t="s">
        <v>443</v>
      </c>
      <c r="E41" s="5" t="s">
        <v>422</v>
      </c>
      <c r="F41" s="5" t="s">
        <v>451</v>
      </c>
      <c r="G41" s="5" t="s">
        <v>452</v>
      </c>
    </row>
    <row r="42" spans="1:7" x14ac:dyDescent="0.3">
      <c r="A42" s="5" t="s">
        <v>453</v>
      </c>
      <c r="B42" s="5" t="s">
        <v>88</v>
      </c>
      <c r="C42" s="5" t="s">
        <v>420</v>
      </c>
      <c r="D42" s="5" t="s">
        <v>443</v>
      </c>
      <c r="E42" s="5" t="s">
        <v>454</v>
      </c>
      <c r="F42" s="5" t="s">
        <v>455</v>
      </c>
      <c r="G42" s="5" t="s">
        <v>456</v>
      </c>
    </row>
    <row r="43" spans="1:7" x14ac:dyDescent="0.3">
      <c r="A43" s="5" t="s">
        <v>457</v>
      </c>
      <c r="B43" s="5" t="s">
        <v>14</v>
      </c>
      <c r="C43" s="5" t="s">
        <v>420</v>
      </c>
      <c r="D43" s="5" t="s">
        <v>458</v>
      </c>
      <c r="E43" s="5" t="s">
        <v>427</v>
      </c>
      <c r="F43" s="5" t="s">
        <v>459</v>
      </c>
      <c r="G43" s="5" t="s">
        <v>460</v>
      </c>
    </row>
    <row r="44" spans="1:7" x14ac:dyDescent="0.3">
      <c r="A44" s="5" t="s">
        <v>461</v>
      </c>
      <c r="B44" s="5" t="s">
        <v>462</v>
      </c>
      <c r="C44" s="5" t="s">
        <v>463</v>
      </c>
      <c r="D44" s="5" t="s">
        <v>458</v>
      </c>
      <c r="E44" s="5" t="s">
        <v>464</v>
      </c>
      <c r="F44" s="5" t="s">
        <v>465</v>
      </c>
      <c r="G44" s="5" t="s">
        <v>466</v>
      </c>
    </row>
    <row r="45" spans="1:7" x14ac:dyDescent="0.3">
      <c r="A45" s="5" t="s">
        <v>467</v>
      </c>
      <c r="B45" s="5" t="s">
        <v>398</v>
      </c>
      <c r="C45" s="5" t="s">
        <v>51</v>
      </c>
      <c r="D45" s="5" t="s">
        <v>443</v>
      </c>
      <c r="E45" s="5" t="s">
        <v>422</v>
      </c>
      <c r="F45" s="5" t="s">
        <v>468</v>
      </c>
      <c r="G45" s="5" t="s">
        <v>469</v>
      </c>
    </row>
    <row r="46" spans="1:7" x14ac:dyDescent="0.3">
      <c r="A46" s="5" t="s">
        <v>470</v>
      </c>
      <c r="B46" s="5" t="s">
        <v>420</v>
      </c>
      <c r="C46" s="5" t="s">
        <v>24</v>
      </c>
      <c r="D46" s="5" t="s">
        <v>458</v>
      </c>
      <c r="E46" s="5" t="s">
        <v>427</v>
      </c>
      <c r="F46" s="5" t="s">
        <v>471</v>
      </c>
      <c r="G46" s="5" t="s">
        <v>472</v>
      </c>
    </row>
    <row r="47" spans="1:7" x14ac:dyDescent="0.3">
      <c r="A47" s="5" t="s">
        <v>473</v>
      </c>
      <c r="B47" s="5" t="s">
        <v>474</v>
      </c>
      <c r="C47" s="5" t="s">
        <v>98</v>
      </c>
      <c r="D47" s="5" t="s">
        <v>443</v>
      </c>
      <c r="E47" s="5" t="s">
        <v>422</v>
      </c>
      <c r="F47" s="5" t="s">
        <v>475</v>
      </c>
      <c r="G47" s="5" t="s">
        <v>476</v>
      </c>
    </row>
    <row r="48" spans="1:7" x14ac:dyDescent="0.3">
      <c r="A48" s="5" t="s">
        <v>477</v>
      </c>
      <c r="B48" s="5" t="s">
        <v>478</v>
      </c>
      <c r="C48" s="5" t="s">
        <v>479</v>
      </c>
      <c r="D48" s="5" t="s">
        <v>443</v>
      </c>
      <c r="E48" s="5" t="s">
        <v>427</v>
      </c>
      <c r="F48" s="5" t="s">
        <v>480</v>
      </c>
      <c r="G48" s="5" t="s">
        <v>481</v>
      </c>
    </row>
    <row r="49" spans="1:11" x14ac:dyDescent="0.3">
      <c r="A49" s="5" t="s">
        <v>482</v>
      </c>
      <c r="B49" s="5" t="s">
        <v>21</v>
      </c>
      <c r="C49" s="5" t="s">
        <v>420</v>
      </c>
      <c r="D49" s="5" t="s">
        <v>443</v>
      </c>
      <c r="E49" s="5" t="s">
        <v>427</v>
      </c>
      <c r="F49" s="5" t="s">
        <v>483</v>
      </c>
      <c r="G49" s="5" t="s">
        <v>484</v>
      </c>
    </row>
    <row r="52" spans="1:11" ht="18" x14ac:dyDescent="0.35">
      <c r="A52" s="178" t="s">
        <v>485</v>
      </c>
      <c r="B52" s="178"/>
      <c r="C52" s="178"/>
      <c r="D52" s="178"/>
      <c r="E52" s="178"/>
      <c r="F52" s="178"/>
      <c r="G52" s="178"/>
      <c r="H52" s="178"/>
      <c r="I52" s="178"/>
      <c r="J52" s="178"/>
      <c r="K52" s="178"/>
    </row>
    <row r="53" spans="1:11" x14ac:dyDescent="0.3">
      <c r="A53" s="174"/>
      <c r="B53" s="174"/>
      <c r="C53" s="174"/>
      <c r="D53" s="174"/>
      <c r="E53" s="174"/>
      <c r="F53" s="174"/>
      <c r="G53" s="174"/>
      <c r="H53" s="174"/>
      <c r="I53" s="174"/>
      <c r="J53" s="174"/>
      <c r="K53" s="174"/>
    </row>
    <row r="54" spans="1:11" x14ac:dyDescent="0.3">
      <c r="A54" s="171" t="s">
        <v>588</v>
      </c>
      <c r="B54" s="171"/>
      <c r="C54" s="171"/>
      <c r="D54" s="171"/>
      <c r="E54" s="171"/>
      <c r="F54" s="171"/>
      <c r="G54" s="171"/>
      <c r="H54" s="171"/>
      <c r="I54" s="171"/>
      <c r="J54" s="171"/>
      <c r="K54" s="171"/>
    </row>
    <row r="55" spans="1:11" x14ac:dyDescent="0.3">
      <c r="A55" s="171" t="s">
        <v>589</v>
      </c>
      <c r="B55" s="171"/>
      <c r="C55" s="171"/>
      <c r="D55" s="171"/>
      <c r="E55" s="171"/>
      <c r="F55" s="171"/>
      <c r="G55" s="171"/>
      <c r="H55" s="171"/>
      <c r="I55" s="171"/>
      <c r="J55" s="171"/>
      <c r="K55" s="171"/>
    </row>
    <row r="56" spans="1:11" x14ac:dyDescent="0.3">
      <c r="A56" s="171" t="s">
        <v>590</v>
      </c>
      <c r="B56" s="171"/>
      <c r="C56" s="171"/>
      <c r="D56" s="171"/>
      <c r="E56" s="171"/>
      <c r="F56" s="171"/>
      <c r="G56" s="171"/>
      <c r="H56" s="171"/>
      <c r="I56" s="171"/>
      <c r="J56" s="171"/>
      <c r="K56" s="171"/>
    </row>
    <row r="57" spans="1:11" x14ac:dyDescent="0.3">
      <c r="A57" s="171" t="s">
        <v>591</v>
      </c>
      <c r="B57" s="171"/>
      <c r="C57" s="171"/>
      <c r="D57" s="171"/>
      <c r="E57" s="171"/>
      <c r="F57" s="171"/>
      <c r="G57" s="171"/>
      <c r="H57" s="171"/>
      <c r="I57" s="171"/>
      <c r="J57" s="171"/>
      <c r="K57" s="171"/>
    </row>
    <row r="58" spans="1:11" x14ac:dyDescent="0.3">
      <c r="A58" s="171" t="s">
        <v>592</v>
      </c>
      <c r="B58" s="171"/>
      <c r="C58" s="171"/>
      <c r="D58" s="171"/>
      <c r="E58" s="171"/>
      <c r="F58" s="171"/>
      <c r="G58" s="171"/>
      <c r="H58" s="171"/>
      <c r="I58" s="171"/>
      <c r="J58" s="171"/>
      <c r="K58" s="171"/>
    </row>
    <row r="59" spans="1:11" x14ac:dyDescent="0.3">
      <c r="A59" s="171" t="s">
        <v>593</v>
      </c>
      <c r="B59" s="171"/>
      <c r="C59" s="171"/>
      <c r="D59" s="171"/>
      <c r="E59" s="171"/>
      <c r="F59" s="171"/>
      <c r="G59" s="171"/>
      <c r="H59" s="171"/>
      <c r="I59" s="171"/>
      <c r="J59" s="171"/>
      <c r="K59" s="171"/>
    </row>
    <row r="60" spans="1:11" x14ac:dyDescent="0.3">
      <c r="A60" s="171" t="s">
        <v>594</v>
      </c>
      <c r="B60" s="171"/>
      <c r="C60" s="171"/>
      <c r="D60" s="171"/>
      <c r="E60" s="171"/>
      <c r="F60" s="171"/>
      <c r="G60" s="171"/>
      <c r="H60" s="171"/>
      <c r="I60" s="171"/>
      <c r="J60" s="171"/>
      <c r="K60" s="171"/>
    </row>
    <row r="61" spans="1:11" x14ac:dyDescent="0.3">
      <c r="A61" s="171" t="s">
        <v>595</v>
      </c>
      <c r="B61" s="171"/>
      <c r="C61" s="171"/>
      <c r="D61" s="171"/>
      <c r="E61" s="171"/>
      <c r="F61" s="171"/>
      <c r="G61" s="171"/>
      <c r="H61" s="171"/>
      <c r="I61" s="171"/>
      <c r="J61" s="171"/>
      <c r="K61" s="171"/>
    </row>
    <row r="62" spans="1:11" x14ac:dyDescent="0.3">
      <c r="A62" s="171" t="s">
        <v>596</v>
      </c>
      <c r="B62" s="171"/>
      <c r="C62" s="171"/>
      <c r="D62" s="171"/>
      <c r="E62" s="171"/>
      <c r="F62" s="171"/>
      <c r="G62" s="171"/>
      <c r="H62" s="171"/>
      <c r="I62" s="171"/>
      <c r="J62" s="171"/>
      <c r="K62" s="171"/>
    </row>
    <row r="63" spans="1:11" x14ac:dyDescent="0.3">
      <c r="A63" s="171" t="s">
        <v>597</v>
      </c>
      <c r="B63" s="171"/>
      <c r="C63" s="171"/>
      <c r="D63" s="171"/>
      <c r="E63" s="171"/>
      <c r="F63" s="171"/>
      <c r="G63" s="171"/>
      <c r="H63" s="171"/>
      <c r="I63" s="171"/>
      <c r="J63" s="171"/>
      <c r="K63" s="171"/>
    </row>
    <row r="64" spans="1:11" x14ac:dyDescent="0.3">
      <c r="A64" s="171" t="s">
        <v>598</v>
      </c>
      <c r="B64" s="171"/>
      <c r="C64" s="171"/>
      <c r="D64" s="171"/>
      <c r="E64" s="171"/>
      <c r="F64" s="171"/>
      <c r="G64" s="171"/>
      <c r="H64" s="171"/>
      <c r="I64" s="171"/>
      <c r="J64" s="171"/>
      <c r="K64" s="171"/>
    </row>
    <row r="65" spans="1:11" x14ac:dyDescent="0.3">
      <c r="A65" s="171" t="s">
        <v>599</v>
      </c>
      <c r="B65" s="171"/>
      <c r="C65" s="171"/>
      <c r="D65" s="171"/>
      <c r="E65" s="171"/>
      <c r="F65" s="171"/>
      <c r="G65" s="171"/>
      <c r="H65" s="171"/>
      <c r="I65" s="171"/>
      <c r="J65" s="171"/>
      <c r="K65" s="171"/>
    </row>
    <row r="66" spans="1:11" x14ac:dyDescent="0.3">
      <c r="A66" s="171" t="s">
        <v>600</v>
      </c>
      <c r="B66" s="171"/>
      <c r="C66" s="171"/>
      <c r="D66" s="171"/>
      <c r="E66" s="171"/>
      <c r="F66" s="171"/>
      <c r="G66" s="171"/>
      <c r="H66" s="171"/>
      <c r="I66" s="171"/>
      <c r="J66" s="171"/>
      <c r="K66" s="171"/>
    </row>
    <row r="67" spans="1:11" x14ac:dyDescent="0.3">
      <c r="A67" s="171" t="s">
        <v>601</v>
      </c>
      <c r="B67" s="171"/>
      <c r="C67" s="171"/>
      <c r="D67" s="171"/>
      <c r="E67" s="171"/>
      <c r="F67" s="171"/>
      <c r="G67" s="171"/>
      <c r="H67" s="171"/>
      <c r="I67" s="171"/>
      <c r="J67" s="171"/>
      <c r="K67" s="171"/>
    </row>
    <row r="68" spans="1:11" x14ac:dyDescent="0.3">
      <c r="A68" s="171" t="s">
        <v>602</v>
      </c>
      <c r="B68" s="171"/>
      <c r="C68" s="171"/>
      <c r="D68" s="171"/>
      <c r="E68" s="171"/>
      <c r="F68" s="171"/>
      <c r="G68" s="171"/>
      <c r="H68" s="171"/>
      <c r="I68" s="171"/>
      <c r="J68" s="171"/>
      <c r="K68" s="171"/>
    </row>
    <row r="69" spans="1:11" x14ac:dyDescent="0.3">
      <c r="A69" s="171" t="s">
        <v>603</v>
      </c>
      <c r="B69" s="171"/>
      <c r="C69" s="171"/>
      <c r="D69" s="171"/>
      <c r="E69" s="171"/>
      <c r="F69" s="171"/>
      <c r="G69" s="171"/>
      <c r="H69" s="171"/>
      <c r="I69" s="171"/>
      <c r="J69" s="171"/>
      <c r="K69" s="171"/>
    </row>
    <row r="70" spans="1:11" x14ac:dyDescent="0.3">
      <c r="A70" s="171" t="s">
        <v>602</v>
      </c>
      <c r="B70" s="171"/>
      <c r="C70" s="171"/>
      <c r="D70" s="171"/>
      <c r="E70" s="171"/>
      <c r="F70" s="171"/>
      <c r="G70" s="171"/>
      <c r="H70" s="171"/>
      <c r="I70" s="171"/>
      <c r="J70" s="171"/>
      <c r="K70" s="171"/>
    </row>
    <row r="71" spans="1:11" x14ac:dyDescent="0.3">
      <c r="A71" s="171" t="s">
        <v>604</v>
      </c>
      <c r="B71" s="171"/>
      <c r="C71" s="171"/>
      <c r="D71" s="171"/>
      <c r="E71" s="171"/>
      <c r="F71" s="171"/>
      <c r="G71" s="171"/>
      <c r="H71" s="171"/>
      <c r="I71" s="171"/>
      <c r="J71" s="171"/>
      <c r="K71" s="171"/>
    </row>
    <row r="72" spans="1:11" x14ac:dyDescent="0.3">
      <c r="A72" s="171" t="s">
        <v>605</v>
      </c>
      <c r="B72" s="171"/>
      <c r="C72" s="171"/>
      <c r="D72" s="171"/>
      <c r="E72" s="171"/>
      <c r="F72" s="171"/>
      <c r="G72" s="171"/>
      <c r="H72" s="171"/>
      <c r="I72" s="171"/>
      <c r="J72" s="171"/>
      <c r="K72" s="171"/>
    </row>
    <row r="73" spans="1:11" x14ac:dyDescent="0.3">
      <c r="A73" s="171" t="s">
        <v>606</v>
      </c>
      <c r="B73" s="171"/>
      <c r="C73" s="171"/>
      <c r="D73" s="171"/>
      <c r="E73" s="171"/>
      <c r="F73" s="171"/>
      <c r="G73" s="171"/>
      <c r="H73" s="171"/>
      <c r="I73" s="171"/>
      <c r="J73" s="171"/>
      <c r="K73" s="171"/>
    </row>
    <row r="74" spans="1:11" x14ac:dyDescent="0.3">
      <c r="A74" s="171" t="s">
        <v>607</v>
      </c>
      <c r="B74" s="171"/>
      <c r="C74" s="171"/>
      <c r="D74" s="171"/>
      <c r="E74" s="171"/>
      <c r="F74" s="171"/>
      <c r="G74" s="171"/>
      <c r="H74" s="171"/>
      <c r="I74" s="171"/>
      <c r="J74" s="171"/>
      <c r="K74" s="171"/>
    </row>
    <row r="75" spans="1:11" x14ac:dyDescent="0.3">
      <c r="A75" s="171" t="s">
        <v>608</v>
      </c>
      <c r="B75" s="171"/>
      <c r="C75" s="171"/>
      <c r="D75" s="171"/>
      <c r="E75" s="171"/>
      <c r="F75" s="171"/>
      <c r="G75" s="171"/>
      <c r="H75" s="171"/>
      <c r="I75" s="171"/>
      <c r="J75" s="171"/>
      <c r="K75" s="171"/>
    </row>
    <row r="76" spans="1:11" x14ac:dyDescent="0.3">
      <c r="A76" s="171" t="s">
        <v>609</v>
      </c>
      <c r="B76" s="171"/>
      <c r="C76" s="171"/>
      <c r="D76" s="171"/>
      <c r="E76" s="171"/>
      <c r="F76" s="171"/>
      <c r="G76" s="171"/>
      <c r="H76" s="171"/>
      <c r="I76" s="171"/>
      <c r="J76" s="171"/>
      <c r="K76" s="171"/>
    </row>
    <row r="77" spans="1:11" x14ac:dyDescent="0.3">
      <c r="A77" s="171" t="s">
        <v>610</v>
      </c>
      <c r="B77" s="171"/>
      <c r="C77" s="171"/>
      <c r="D77" s="171"/>
      <c r="E77" s="171"/>
      <c r="F77" s="171"/>
      <c r="G77" s="171"/>
      <c r="H77" s="171"/>
      <c r="I77" s="171"/>
      <c r="J77" s="171"/>
      <c r="K77" s="171"/>
    </row>
    <row r="78" spans="1:11" x14ac:dyDescent="0.3">
      <c r="A78" s="171" t="s">
        <v>611</v>
      </c>
      <c r="B78" s="171"/>
      <c r="C78" s="171"/>
      <c r="D78" s="171"/>
      <c r="E78" s="171"/>
      <c r="F78" s="171"/>
      <c r="G78" s="171"/>
      <c r="H78" s="171"/>
      <c r="I78" s="171"/>
      <c r="J78" s="171"/>
      <c r="K78" s="171"/>
    </row>
    <row r="79" spans="1:11" x14ac:dyDescent="0.3">
      <c r="A79" s="171" t="s">
        <v>612</v>
      </c>
      <c r="B79" s="171"/>
      <c r="C79" s="171"/>
      <c r="D79" s="171"/>
      <c r="E79" s="171"/>
      <c r="F79" s="171"/>
      <c r="G79" s="171"/>
      <c r="H79" s="171"/>
      <c r="I79" s="171"/>
      <c r="J79" s="171"/>
      <c r="K79" s="171"/>
    </row>
    <row r="80" spans="1:11" x14ac:dyDescent="0.3">
      <c r="A80" s="171" t="s">
        <v>613</v>
      </c>
      <c r="B80" s="171"/>
      <c r="C80" s="171"/>
      <c r="D80" s="171"/>
      <c r="E80" s="171"/>
      <c r="F80" s="171"/>
      <c r="G80" s="171"/>
      <c r="H80" s="171"/>
      <c r="I80" s="171"/>
      <c r="J80" s="171"/>
      <c r="K80" s="171"/>
    </row>
    <row r="81" spans="1:11" x14ac:dyDescent="0.3">
      <c r="A81" s="171" t="s">
        <v>614</v>
      </c>
      <c r="B81" s="171"/>
      <c r="C81" s="171"/>
      <c r="D81" s="171"/>
      <c r="E81" s="171"/>
      <c r="F81" s="171"/>
      <c r="G81" s="171"/>
      <c r="H81" s="171"/>
      <c r="I81" s="171"/>
      <c r="J81" s="171"/>
      <c r="K81" s="171"/>
    </row>
    <row r="82" spans="1:11" ht="18" customHeight="1" x14ac:dyDescent="0.3">
      <c r="A82" s="171" t="s">
        <v>615</v>
      </c>
      <c r="B82" s="171"/>
      <c r="C82" s="171"/>
      <c r="D82" s="171"/>
      <c r="E82" s="171"/>
      <c r="F82" s="171"/>
      <c r="G82" s="171"/>
      <c r="H82" s="171"/>
      <c r="I82" s="171"/>
      <c r="J82" s="171"/>
      <c r="K82" s="171"/>
    </row>
    <row r="83" spans="1:11" x14ac:dyDescent="0.3">
      <c r="A83" s="171" t="s">
        <v>616</v>
      </c>
      <c r="B83" s="171"/>
      <c r="C83" s="171"/>
      <c r="D83" s="171"/>
      <c r="E83" s="171"/>
      <c r="F83" s="171"/>
      <c r="G83" s="171"/>
      <c r="H83" s="171"/>
      <c r="I83" s="171"/>
      <c r="J83" s="171"/>
      <c r="K83" s="171"/>
    </row>
    <row r="84" spans="1:11" x14ac:dyDescent="0.3">
      <c r="A84" s="173"/>
      <c r="B84" s="174"/>
      <c r="C84" s="174"/>
      <c r="D84" s="174"/>
      <c r="E84" s="174"/>
      <c r="F84" s="174"/>
      <c r="G84" s="174"/>
      <c r="H84" s="174"/>
      <c r="I84" s="174"/>
      <c r="J84" s="174"/>
      <c r="K84" s="174"/>
    </row>
    <row r="85" spans="1:11" x14ac:dyDescent="0.3">
      <c r="A85" s="170" t="s">
        <v>617</v>
      </c>
      <c r="B85" s="171"/>
      <c r="C85" s="171"/>
      <c r="D85" s="171"/>
      <c r="E85" s="171"/>
      <c r="F85" s="171"/>
      <c r="G85" s="171"/>
      <c r="H85" s="171"/>
      <c r="I85" s="171"/>
      <c r="J85" s="171"/>
      <c r="K85" s="171"/>
    </row>
    <row r="86" spans="1:11" x14ac:dyDescent="0.3">
      <c r="A86" s="170" t="s">
        <v>618</v>
      </c>
      <c r="B86" s="171"/>
      <c r="C86" s="171"/>
      <c r="D86" s="171"/>
      <c r="E86" s="171"/>
      <c r="F86" s="171"/>
      <c r="G86" s="171"/>
      <c r="H86" s="171"/>
      <c r="I86" s="171"/>
      <c r="J86" s="171"/>
      <c r="K86" s="171"/>
    </row>
    <row r="87" spans="1:11" x14ac:dyDescent="0.3">
      <c r="A87" s="170" t="s">
        <v>617</v>
      </c>
      <c r="B87" s="171"/>
      <c r="C87" s="171"/>
      <c r="D87" s="171"/>
      <c r="E87" s="171"/>
      <c r="F87" s="171"/>
      <c r="G87" s="171"/>
      <c r="H87" s="171"/>
      <c r="I87" s="171"/>
      <c r="J87" s="171"/>
      <c r="K87" s="171"/>
    </row>
    <row r="88" spans="1:11" x14ac:dyDescent="0.3">
      <c r="A88" s="170" t="s">
        <v>619</v>
      </c>
      <c r="B88" s="171"/>
      <c r="C88" s="171"/>
      <c r="D88" s="171"/>
      <c r="E88" s="171"/>
      <c r="F88" s="171"/>
      <c r="G88" s="171"/>
      <c r="H88" s="171"/>
      <c r="I88" s="171"/>
      <c r="J88" s="171"/>
      <c r="K88" s="171"/>
    </row>
    <row r="89" spans="1:11" x14ac:dyDescent="0.3">
      <c r="A89" s="170" t="s">
        <v>620</v>
      </c>
      <c r="B89" s="171"/>
      <c r="C89" s="171"/>
      <c r="D89" s="171"/>
      <c r="E89" s="171"/>
      <c r="F89" s="171"/>
      <c r="G89" s="171"/>
      <c r="H89" s="171"/>
      <c r="I89" s="171"/>
      <c r="J89" s="171"/>
      <c r="K89" s="171"/>
    </row>
    <row r="90" spans="1:11" x14ac:dyDescent="0.3">
      <c r="A90" s="170" t="s">
        <v>621</v>
      </c>
      <c r="B90" s="171"/>
      <c r="C90" s="171"/>
      <c r="D90" s="171"/>
      <c r="E90" s="171"/>
      <c r="F90" s="171"/>
      <c r="G90" s="171"/>
      <c r="H90" s="171"/>
      <c r="I90" s="171"/>
      <c r="J90" s="171"/>
      <c r="K90" s="171"/>
    </row>
    <row r="91" spans="1:11" x14ac:dyDescent="0.3">
      <c r="A91" s="170" t="s">
        <v>617</v>
      </c>
      <c r="B91" s="171"/>
      <c r="C91" s="171"/>
      <c r="D91" s="171"/>
      <c r="E91" s="171"/>
      <c r="F91" s="171"/>
      <c r="G91" s="171"/>
      <c r="H91" s="171"/>
      <c r="I91" s="171"/>
      <c r="J91" s="171"/>
      <c r="K91" s="171"/>
    </row>
    <row r="94" spans="1:11" ht="18" x14ac:dyDescent="0.35">
      <c r="A94" s="172" t="s">
        <v>486</v>
      </c>
      <c r="B94" s="172"/>
      <c r="C94" s="172"/>
      <c r="D94" s="172"/>
      <c r="E94" s="172"/>
      <c r="F94" s="172"/>
    </row>
    <row r="95" spans="1:11" x14ac:dyDescent="0.3">
      <c r="A95" s="13" t="s">
        <v>487</v>
      </c>
      <c r="B95" s="13" t="s">
        <v>383</v>
      </c>
      <c r="C95" s="13" t="s">
        <v>488</v>
      </c>
      <c r="D95" s="13" t="s">
        <v>489</v>
      </c>
      <c r="E95" s="13" t="s">
        <v>490</v>
      </c>
      <c r="F95" s="13" t="s">
        <v>491</v>
      </c>
    </row>
    <row r="96" spans="1:11" x14ac:dyDescent="0.3">
      <c r="A96" s="5" t="s">
        <v>120</v>
      </c>
      <c r="B96" s="5" t="s">
        <v>28</v>
      </c>
      <c r="C96" s="5" t="s">
        <v>492</v>
      </c>
      <c r="D96" s="5" t="s">
        <v>493</v>
      </c>
      <c r="E96" s="5" t="s">
        <v>494</v>
      </c>
      <c r="F96" s="5" t="s">
        <v>495</v>
      </c>
    </row>
    <row r="97" spans="1:7" x14ac:dyDescent="0.3">
      <c r="A97" s="5" t="s">
        <v>270</v>
      </c>
      <c r="B97" s="5" t="s">
        <v>28</v>
      </c>
      <c r="C97" s="5" t="s">
        <v>5</v>
      </c>
      <c r="D97" s="5" t="s">
        <v>496</v>
      </c>
      <c r="E97" s="5" t="s">
        <v>497</v>
      </c>
      <c r="F97" s="5" t="s">
        <v>127</v>
      </c>
    </row>
    <row r="98" spans="1:7" x14ac:dyDescent="0.3">
      <c r="A98" s="5" t="s">
        <v>121</v>
      </c>
      <c r="B98" s="5" t="s">
        <v>29</v>
      </c>
      <c r="C98" s="5" t="s">
        <v>498</v>
      </c>
      <c r="D98" s="5" t="s">
        <v>499</v>
      </c>
      <c r="E98" s="5" t="s">
        <v>500</v>
      </c>
      <c r="F98" s="5" t="s">
        <v>495</v>
      </c>
    </row>
    <row r="99" spans="1:7" x14ac:dyDescent="0.3">
      <c r="A99" s="5" t="s">
        <v>143</v>
      </c>
      <c r="B99" s="5" t="s">
        <v>28</v>
      </c>
      <c r="C99" s="5" t="s">
        <v>501</v>
      </c>
      <c r="D99" s="5" t="s">
        <v>502</v>
      </c>
      <c r="E99" s="5" t="s">
        <v>497</v>
      </c>
      <c r="F99" s="5" t="s">
        <v>495</v>
      </c>
    </row>
    <row r="100" spans="1:7" x14ac:dyDescent="0.3">
      <c r="A100" s="5" t="s">
        <v>144</v>
      </c>
      <c r="B100" s="5" t="s">
        <v>29</v>
      </c>
      <c r="C100" s="5" t="s">
        <v>503</v>
      </c>
      <c r="D100" s="5" t="s">
        <v>504</v>
      </c>
      <c r="E100" s="5" t="s">
        <v>494</v>
      </c>
      <c r="F100" s="5" t="s">
        <v>495</v>
      </c>
    </row>
    <row r="101" spans="1:7" x14ac:dyDescent="0.3">
      <c r="A101" s="5" t="s">
        <v>192</v>
      </c>
      <c r="B101" s="5" t="s">
        <v>28</v>
      </c>
      <c r="C101" s="5" t="s">
        <v>505</v>
      </c>
      <c r="D101" s="5" t="s">
        <v>496</v>
      </c>
      <c r="E101" s="5" t="s">
        <v>506</v>
      </c>
      <c r="F101" s="5" t="s">
        <v>127</v>
      </c>
    </row>
    <row r="102" spans="1:7" x14ac:dyDescent="0.3">
      <c r="A102" s="5" t="s">
        <v>168</v>
      </c>
      <c r="B102" s="5" t="s">
        <v>29</v>
      </c>
      <c r="C102" s="5" t="s">
        <v>507</v>
      </c>
      <c r="D102" s="5" t="s">
        <v>496</v>
      </c>
      <c r="E102" s="5" t="s">
        <v>497</v>
      </c>
      <c r="F102" s="5" t="s">
        <v>127</v>
      </c>
    </row>
    <row r="103" spans="1:7" x14ac:dyDescent="0.3">
      <c r="A103" s="5" t="s">
        <v>257</v>
      </c>
      <c r="B103" s="5" t="s">
        <v>28</v>
      </c>
      <c r="C103" s="5" t="s">
        <v>508</v>
      </c>
      <c r="D103" s="5" t="s">
        <v>504</v>
      </c>
      <c r="E103" s="5" t="s">
        <v>494</v>
      </c>
      <c r="F103" s="5" t="s">
        <v>495</v>
      </c>
    </row>
    <row r="104" spans="1:7" x14ac:dyDescent="0.3">
      <c r="A104" s="5" t="s">
        <v>130</v>
      </c>
      <c r="B104" s="5" t="s">
        <v>28</v>
      </c>
      <c r="C104" s="5" t="s">
        <v>509</v>
      </c>
      <c r="D104" s="5" t="s">
        <v>496</v>
      </c>
      <c r="E104" s="5" t="s">
        <v>506</v>
      </c>
      <c r="F104" s="5" t="s">
        <v>127</v>
      </c>
    </row>
    <row r="105" spans="1:7" x14ac:dyDescent="0.3">
      <c r="A105" s="5" t="s">
        <v>155</v>
      </c>
      <c r="B105" s="5" t="s">
        <v>28</v>
      </c>
      <c r="C105" s="5" t="s">
        <v>510</v>
      </c>
      <c r="D105" s="5" t="s">
        <v>511</v>
      </c>
      <c r="E105" s="5" t="s">
        <v>494</v>
      </c>
      <c r="F105" s="5" t="s">
        <v>127</v>
      </c>
    </row>
    <row r="106" spans="1:7" x14ac:dyDescent="0.3">
      <c r="A106" s="5" t="s">
        <v>148</v>
      </c>
      <c r="B106" s="5" t="s">
        <v>28</v>
      </c>
      <c r="C106" s="5" t="s">
        <v>512</v>
      </c>
      <c r="D106" s="5" t="s">
        <v>496</v>
      </c>
      <c r="E106" s="5" t="s">
        <v>497</v>
      </c>
      <c r="F106" s="5" t="s">
        <v>118</v>
      </c>
    </row>
    <row r="107" spans="1:7" x14ac:dyDescent="0.3">
      <c r="A107" s="5" t="s">
        <v>513</v>
      </c>
      <c r="B107" s="5" t="s">
        <v>514</v>
      </c>
      <c r="C107" s="5" t="s">
        <v>515</v>
      </c>
      <c r="D107" s="5" t="s">
        <v>516</v>
      </c>
      <c r="E107" s="5" t="s">
        <v>517</v>
      </c>
      <c r="F107" s="5" t="s">
        <v>518</v>
      </c>
    </row>
    <row r="110" spans="1:7" ht="18" x14ac:dyDescent="0.35">
      <c r="A110" s="169" t="s">
        <v>519</v>
      </c>
      <c r="B110" s="169"/>
      <c r="C110" s="169"/>
      <c r="D110" s="169"/>
      <c r="E110" s="169"/>
      <c r="F110" s="169"/>
      <c r="G110" s="169"/>
    </row>
    <row r="111" spans="1:7" x14ac:dyDescent="0.3">
      <c r="A111" s="14" t="s">
        <v>520</v>
      </c>
      <c r="B111" s="14" t="s">
        <v>521</v>
      </c>
      <c r="C111" s="14" t="s">
        <v>522</v>
      </c>
      <c r="D111" s="14" t="s">
        <v>523</v>
      </c>
      <c r="E111" s="14" t="s">
        <v>524</v>
      </c>
      <c r="F111" s="14" t="s">
        <v>525</v>
      </c>
      <c r="G111" s="14" t="s">
        <v>114</v>
      </c>
    </row>
    <row r="112" spans="1:7" x14ac:dyDescent="0.3">
      <c r="A112" s="5" t="s">
        <v>526</v>
      </c>
      <c r="B112" s="5" t="s">
        <v>527</v>
      </c>
      <c r="C112" s="5" t="s">
        <v>528</v>
      </c>
      <c r="D112" s="5" t="s">
        <v>529</v>
      </c>
      <c r="E112" s="5" t="s">
        <v>530</v>
      </c>
      <c r="F112" s="5" t="s">
        <v>531</v>
      </c>
      <c r="G112" s="5" t="s">
        <v>532</v>
      </c>
    </row>
    <row r="113" spans="1:7" x14ac:dyDescent="0.3">
      <c r="A113" s="5" t="s">
        <v>533</v>
      </c>
      <c r="B113" s="5" t="s">
        <v>534</v>
      </c>
      <c r="C113" s="5" t="s">
        <v>535</v>
      </c>
      <c r="D113" s="5" t="s">
        <v>536</v>
      </c>
      <c r="E113" s="5" t="s">
        <v>537</v>
      </c>
      <c r="F113" s="5" t="s">
        <v>538</v>
      </c>
      <c r="G113" s="5" t="s">
        <v>539</v>
      </c>
    </row>
    <row r="114" spans="1:7" x14ac:dyDescent="0.3">
      <c r="A114" s="5" t="s">
        <v>540</v>
      </c>
      <c r="B114" s="5" t="s">
        <v>541</v>
      </c>
      <c r="C114" s="5" t="s">
        <v>542</v>
      </c>
      <c r="D114" s="5" t="s">
        <v>543</v>
      </c>
      <c r="E114" s="5" t="s">
        <v>544</v>
      </c>
      <c r="F114" s="5" t="s">
        <v>545</v>
      </c>
      <c r="G114" s="5" t="s">
        <v>546</v>
      </c>
    </row>
    <row r="115" spans="1:7" x14ac:dyDescent="0.3">
      <c r="A115" s="5" t="s">
        <v>547</v>
      </c>
      <c r="B115" s="5" t="s">
        <v>548</v>
      </c>
      <c r="C115" s="5" t="s">
        <v>549</v>
      </c>
      <c r="D115" s="5" t="s">
        <v>550</v>
      </c>
      <c r="E115" s="5" t="s">
        <v>551</v>
      </c>
      <c r="F115" s="5" t="s">
        <v>552</v>
      </c>
      <c r="G115" s="5" t="s">
        <v>553</v>
      </c>
    </row>
    <row r="116" spans="1:7" x14ac:dyDescent="0.3">
      <c r="A116" s="5" t="s">
        <v>554</v>
      </c>
      <c r="B116" s="5" t="s">
        <v>555</v>
      </c>
      <c r="C116" s="5" t="s">
        <v>556</v>
      </c>
      <c r="D116" s="5" t="s">
        <v>557</v>
      </c>
      <c r="E116" s="5" t="s">
        <v>558</v>
      </c>
      <c r="F116" s="5" t="s">
        <v>559</v>
      </c>
      <c r="G116" s="5" t="s">
        <v>560</v>
      </c>
    </row>
    <row r="117" spans="1:7" x14ac:dyDescent="0.3">
      <c r="A117" s="5" t="s">
        <v>561</v>
      </c>
      <c r="B117" s="5" t="s">
        <v>448</v>
      </c>
      <c r="C117" s="5" t="s">
        <v>562</v>
      </c>
      <c r="D117" s="5" t="s">
        <v>563</v>
      </c>
      <c r="E117" s="5" t="s">
        <v>564</v>
      </c>
      <c r="F117" s="5" t="s">
        <v>565</v>
      </c>
      <c r="G117" s="5" t="s">
        <v>566</v>
      </c>
    </row>
    <row r="118" spans="1:7" x14ac:dyDescent="0.3">
      <c r="A118" s="5" t="s">
        <v>567</v>
      </c>
      <c r="B118" s="5" t="s">
        <v>568</v>
      </c>
      <c r="C118" s="5" t="s">
        <v>569</v>
      </c>
      <c r="D118" s="5" t="s">
        <v>570</v>
      </c>
      <c r="E118" s="5" t="s">
        <v>571</v>
      </c>
      <c r="F118" s="5" t="s">
        <v>572</v>
      </c>
      <c r="G118" s="5" t="s">
        <v>573</v>
      </c>
    </row>
    <row r="119" spans="1:7" x14ac:dyDescent="0.3">
      <c r="A119" s="5" t="s">
        <v>574</v>
      </c>
      <c r="B119" s="5" t="s">
        <v>575</v>
      </c>
      <c r="C119" s="5" t="s">
        <v>576</v>
      </c>
      <c r="D119" s="5" t="s">
        <v>577</v>
      </c>
      <c r="E119" s="5" t="s">
        <v>578</v>
      </c>
      <c r="F119" s="5" t="s">
        <v>579</v>
      </c>
      <c r="G119" s="5" t="s">
        <v>580</v>
      </c>
    </row>
    <row r="122" spans="1:7" ht="15.6" x14ac:dyDescent="0.3">
      <c r="A122" s="15" t="s">
        <v>581</v>
      </c>
    </row>
    <row r="123" spans="1:7" x14ac:dyDescent="0.3">
      <c r="A123" s="16" t="s">
        <v>582</v>
      </c>
    </row>
    <row r="124" spans="1:7" x14ac:dyDescent="0.3">
      <c r="A124" s="16" t="s">
        <v>583</v>
      </c>
    </row>
    <row r="125" spans="1:7" x14ac:dyDescent="0.3">
      <c r="A125" s="16" t="s">
        <v>584</v>
      </c>
    </row>
    <row r="126" spans="1:7" x14ac:dyDescent="0.3">
      <c r="A126" s="16" t="s">
        <v>585</v>
      </c>
    </row>
    <row r="127" spans="1:7" x14ac:dyDescent="0.3">
      <c r="A127" s="16" t="s">
        <v>586</v>
      </c>
    </row>
    <row r="128" spans="1:7" x14ac:dyDescent="0.3">
      <c r="A128" s="16" t="s">
        <v>587</v>
      </c>
    </row>
  </sheetData>
  <mergeCells count="45">
    <mergeCell ref="A62:K62"/>
    <mergeCell ref="A10:F10"/>
    <mergeCell ref="A18:I18"/>
    <mergeCell ref="A33:G33"/>
    <mergeCell ref="A52:K52"/>
    <mergeCell ref="A53:K53"/>
    <mergeCell ref="A54:K54"/>
    <mergeCell ref="A55:K55"/>
    <mergeCell ref="A56:K56"/>
    <mergeCell ref="A57:K57"/>
    <mergeCell ref="A58:K58"/>
    <mergeCell ref="A59:K59"/>
    <mergeCell ref="A60:K60"/>
    <mergeCell ref="A61:K61"/>
    <mergeCell ref="A74:K74"/>
    <mergeCell ref="A63:K63"/>
    <mergeCell ref="A64:K64"/>
    <mergeCell ref="A65:K65"/>
    <mergeCell ref="A66:K66"/>
    <mergeCell ref="A67:K67"/>
    <mergeCell ref="A68:K68"/>
    <mergeCell ref="A69:K69"/>
    <mergeCell ref="A70:K70"/>
    <mergeCell ref="A71:K71"/>
    <mergeCell ref="A72:K72"/>
    <mergeCell ref="A73:K73"/>
    <mergeCell ref="A86:K86"/>
    <mergeCell ref="A75:K75"/>
    <mergeCell ref="A76:K76"/>
    <mergeCell ref="A77:K77"/>
    <mergeCell ref="A78:K78"/>
    <mergeCell ref="A79:K79"/>
    <mergeCell ref="A80:K80"/>
    <mergeCell ref="A81:K81"/>
    <mergeCell ref="A82:K82"/>
    <mergeCell ref="A83:K83"/>
    <mergeCell ref="A84:K84"/>
    <mergeCell ref="A85:K85"/>
    <mergeCell ref="A110:G110"/>
    <mergeCell ref="A87:K87"/>
    <mergeCell ref="A88:K88"/>
    <mergeCell ref="A89:K89"/>
    <mergeCell ref="A90:K90"/>
    <mergeCell ref="A91:K91"/>
    <mergeCell ref="A94:F94"/>
  </mergeCells>
  <conditionalFormatting sqref="F96:F107">
    <cfRule type="containsText" dxfId="1" priority="3" operator="containsText" text="HIGH">
      <formula>NOT(ISERROR(SEARCH("HIGH",F96)))</formula>
    </cfRule>
    <cfRule type="containsText" dxfId="0" priority="4" operator="containsText" text="CRITICAL">
      <formula>NOT(ISERROR(SEARCH("CRITICAL",F96)))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README</vt:lpstr>
      <vt:lpstr>Reference Data</vt:lpstr>
      <vt:lpstr>Applications</vt:lpstr>
      <vt:lpstr>Users</vt:lpstr>
      <vt:lpstr>Admin (Release Managers)</vt:lpstr>
      <vt:lpstr>Super Admins</vt:lpstr>
      <vt:lpstr>Releases</vt:lpstr>
      <vt:lpstr>Calendar</vt:lpstr>
      <vt:lpstr>Env booking</vt:lpstr>
      <vt:lpstr>Risk Factors</vt:lpstr>
      <vt:lpstr>Risk</vt:lpstr>
      <vt:lpstr>Drift</vt:lpstr>
      <vt:lpstr>Dependencies</vt:lpstr>
      <vt:lpstr>Approvals</vt:lpstr>
      <vt:lpstr>Leave Calendar</vt:lpstr>
      <vt:lpstr>Versions</vt:lpstr>
      <vt:lpstr>System Mapping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Guru Goddumuri</dc:creator>
  <cp:lastModifiedBy>Guru Goddumuri</cp:lastModifiedBy>
  <dcterms:created xsi:type="dcterms:W3CDTF">2026-06-25T04:35:05Z</dcterms:created>
  <dcterms:modified xsi:type="dcterms:W3CDTF">2026-06-25T11:38:56Z</dcterms:modified>
</cp:coreProperties>
</file>